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O:\Map A-F\Central Online MVO\1_Tool &amp; Dashboard\KPI MVO\"/>
    </mc:Choice>
  </mc:AlternateContent>
  <xr:revisionPtr revIDLastSave="0" documentId="13_ncr:1_{1D329CFF-CB57-447D-A67E-12F865717F86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LADEN" sheetId="8" r:id="rId1"/>
    <sheet name="Interface" sheetId="9" state="veryHidden" r:id="rId2"/>
    <sheet name="START" sheetId="6" r:id="rId3"/>
    <sheet name="UPDATE" sheetId="18" state="hidden" r:id="rId4"/>
    <sheet name="EXPORT" sheetId="17" r:id="rId5"/>
  </sheets>
  <definedNames>
    <definedName name="Basic">#REF!,#REF!,#REF!,#REF!</definedName>
    <definedName name="EFC">START!$I$2</definedName>
    <definedName name="errchck">START!$A$3</definedName>
    <definedName name="ExternalData_1" localSheetId="4" hidden="1">EXPORT!$A$1:$E$2659</definedName>
    <definedName name="ExternalData_2" localSheetId="3" hidden="1">UPDATE!$A$1:$A$2</definedName>
    <definedName name="kpi_dt">START!$C$7</definedName>
    <definedName name="kpi_log">START!$D$9:$F$21</definedName>
    <definedName name="LOAD_BAR">LADEN!$D$12:$M$12</definedName>
    <definedName name="LOAD_TXT">LADEN!$D$10</definedName>
    <definedName name="mv_dt">START!$B$7</definedName>
    <definedName name="PATH">START!$A$1</definedName>
    <definedName name="ROOT">START!$A$1</definedName>
    <definedName name="SHOP">START!$I$2</definedName>
    <definedName name="STORE">START!$I$2</definedName>
    <definedName name="tbl_log">START!$B$9:$B$21</definedName>
    <definedName name="UPDATE">Interface!$B$1</definedName>
    <definedName name="version">START!$I$1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8" l="1"/>
  <c r="H24" i="6" l="1"/>
  <c r="P24" i="8"/>
  <c r="O24" i="8"/>
  <c r="A24" i="8"/>
  <c r="P1" i="8"/>
  <c r="O1" i="8"/>
  <c r="I24" i="6"/>
  <c r="A2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3D" description="Verbinding maken met de query 3D in de werkmap." type="5" refreshedVersion="0" background="1">
    <dbPr connection="Provider=Microsoft.Mashup.OleDb.1;Data Source=$Workbook$;Location=3D;Extended Properties=&quot;&quot;" command="SELECT * FROM [3D]"/>
  </connection>
  <connection id="2" xr16:uid="{F96DB515-6166-422F-B755-FA6E1ED2AF2E}" keepAlive="1" name="Query - Afzet_Lvl" description="Verbinding maken met de query Afzet_Lvl in de werkmap." type="5" refreshedVersion="0" background="1">
    <dbPr connection="Provider=Microsoft.Mashup.OleDb.1;Data Source=$Workbook$;Location=Afzet_Lvl;Extended Properties=&quot;&quot;" command="SELECT * FROM [Afzet_Lvl]"/>
  </connection>
  <connection id="3" xr16:uid="{00000000-0015-0000-FFFF-FFFF01000000}" keepAlive="1" name="Query - BestMatch" description="Verbinding maken met de query BestMatch in de werkmap." type="5" refreshedVersion="0" background="1">
    <dbPr connection="Provider=Microsoft.Mashup.OleDb.1;Data Source=$Workbook$;Location=BestMatch;Extended Properties=&quot;&quot;" command="SELECT * FROM [BestMatch]"/>
  </connection>
  <connection id="4" xr16:uid="{00000000-0015-0000-FFFF-FFFF02000000}" keepAlive="1" name="Query - BUF_LOCUS" description="Verbinding maken met de query BUF_LOCUS in de werkmap." type="5" refreshedVersion="0" background="1">
    <dbPr connection="Provider=Microsoft.Mashup.OleDb.1;Data Source=$Workbook$;Location=BUF_LOCUS;Extended Properties=&quot;&quot;" command="SELECT * FROM [BUF_LOCUS]"/>
  </connection>
  <connection id="5" xr16:uid="{00000000-0015-0000-FFFF-FFFF03000000}" keepAlive="1" name="Query - CALC_ABC" description="Verbinding maken met de query CALC_ABC in de werkmap." type="5" refreshedVersion="0" background="1">
    <dbPr connection="Provider=Microsoft.Mashup.OleDb.1;Data Source=$Workbook$;Location=CALC_ABC;Extended Properties=&quot;&quot;" command="SELECT * FROM [CALC_ABC]"/>
  </connection>
  <connection id="6" xr16:uid="{00000000-0015-0000-FFFF-FFFF04000000}" keepAlive="1" name="Query - CALC_MV" description="Verbinding maken met de query CALC_MV in de werkmap." type="5" refreshedVersion="0" background="1">
    <dbPr connection="Provider=Microsoft.Mashup.OleDb.1;Data Source=$Workbook$;Location=CALC_MV;Extended Properties=&quot;&quot;" command="SELECT * FROM [CALC_MV]"/>
  </connection>
  <connection id="7" xr16:uid="{00000000-0015-0000-FFFF-FFFF05000000}" keepAlive="1" name="Query - CALC_W" description="Verbinding maken met de query CALC_W in de werkmap." type="5" refreshedVersion="0" background="1">
    <dbPr connection="Provider=Microsoft.Mashup.OleDb.1;Data Source=$Workbook$;Location=CALC_W;Extended Properties=&quot;&quot;" command="SELECT * FROM [CALC_W]"/>
  </connection>
  <connection id="8" xr16:uid="{00000000-0015-0000-FFFF-FFFF06000000}" keepAlive="1" name="Query - CalcPrio" description="Verbinding maken met de query CalcPrio in de werkmap." type="5" refreshedVersion="0" background="1">
    <dbPr connection="Provider=Microsoft.Mashup.OleDb.1;Data Source=$Workbook$;Location=CalcPrio;Extended Properties=&quot;&quot;" command="SELECT * FROM [CalcPrio]"/>
  </connection>
  <connection id="9" xr16:uid="{00000000-0015-0000-FFFF-FFFF07000000}" keepAlive="1" name="Query - Connections" description="Verbinding maken met de query Connections in de werkmap." type="5" refreshedVersion="0" background="1">
    <dbPr connection="Provider=Microsoft.Mashup.OleDb.1;Data Source=$Workbook$;Location=Connections;Extended Properties=&quot;&quot;" command="SELECT * FROM [Connections]"/>
  </connection>
  <connection id="10" xr16:uid="{00000000-0015-0000-FFFF-FFFF08000000}" keepAlive="1" name="Query - Datum" description="Verbinding maken met de query Datum in de werkmap." type="5" refreshedVersion="8" background="1" saveData="1">
    <dbPr connection="Provider=Microsoft.Mashup.OleDb.1;Data Source=$Workbook$;Location=Datum;Extended Properties=&quot;&quot;" command="SELECT * FROM [Datum]"/>
  </connection>
  <connection id="11" xr16:uid="{00000000-0015-0000-FFFF-FFFF09000000}" keepAlive="1" name="Query - DMZ" description="Verbinding maken met de query DMZ in de werkmap." type="5" refreshedVersion="0" background="1">
    <dbPr connection="Provider=Microsoft.Mashup.OleDb.1;Data Source=$Workbook$;Location=DMZ;Extended Properties=&quot;&quot;" command="SELECT * FROM [DMZ]"/>
  </connection>
  <connection id="12" xr16:uid="{00000000-0015-0000-FFFF-FFFF0A000000}" keepAlive="1" name="Query - DSN_WMS" description="Verbinding maken met de query DSN_WMS in de werkmap." type="5" refreshedVersion="0" background="1">
    <dbPr connection="Provider=Microsoft.Mashup.OleDb.1;Data Source=$Workbook$;Location=DSN_WMS;Extended Properties=&quot;&quot;" command="SELECT * FROM [DSN_WMS]"/>
  </connection>
  <connection id="13" xr16:uid="{00000000-0015-0000-FFFF-FFFF0B000000}" keepAlive="1" name="Query - EFC" description="Verbinding maken met de query EFC in de werkmap." type="5" refreshedVersion="0" background="1">
    <dbPr connection="Provider=Microsoft.Mashup.OleDb.1;Data Source=$Workbook$;Location=EFC;Extended Properties=&quot;&quot;" command="SELECT * FROM [EFC]"/>
  </connection>
  <connection id="14" xr16:uid="{00000000-0015-0000-FFFF-FFFF0C000000}" keepAlive="1" name="Query - EXPORT" description="Verbinding maken met de query EXPORT in de werkmap." type="5" refreshedVersion="8" saveData="1">
    <dbPr connection="Provider=Microsoft.Mashup.OleDb.1;Data Source=$Workbook$;Location=EXPORT;Extended Properties=&quot;&quot;" command="SELECT * FROM [EXPORT]"/>
  </connection>
  <connection id="15" xr16:uid="{00000000-0015-0000-FFFF-FFFF0D000000}" keepAlive="1" name="Query - FIND_NEW" description="Verbinding maken met de query FIND_NEW in de werkmap." type="5" refreshedVersion="0" background="1">
    <dbPr connection="Provider=Microsoft.Mashup.OleDb.1;Data Source=$Workbook$;Location=FIND_NEW;Extended Properties=&quot;&quot;" command="SELECT * FROM [FIND_NEW]"/>
  </connection>
  <connection id="16" xr16:uid="{00000000-0015-0000-FFFF-FFFF0E000000}" keepAlive="1" name="Query - FindType" description="Verbinding maken met de query FindType in de werkmap." type="5" refreshedVersion="0" background="1">
    <dbPr connection="Provider=Microsoft.Mashup.OleDb.1;Data Source=$Workbook$;Location=FindType;Extended Properties=&quot;&quot;" command="SELECT * FROM [FindType]"/>
  </connection>
  <connection id="17" xr16:uid="{00000000-0015-0000-FFFF-FFFF0F000000}" keepAlive="1" name="Query - fnFindLoc" description="Verbinding maken met de query fnFindLoc in de werkmap." type="5" refreshedVersion="0" background="1">
    <dbPr connection="Provider=Microsoft.Mashup.OleDb.1;Data Source=$Workbook$;Location=fnFindLoc;Extended Properties=&quot;&quot;" command="SELECT * FROM [fnFindLoc]"/>
  </connection>
  <connection id="18" xr16:uid="{00000000-0015-0000-FFFF-FFFF10000000}" keepAlive="1" name="Query - FP_STATS" description="Verbinding maken met de query FP_STATS in de werkmap." type="5" refreshedVersion="0" background="1">
    <dbPr connection="Provider=Microsoft.Mashup.OleDb.1;Data Source=$Workbook$;Location=FP_STATS;Extended Properties=&quot;&quot;" command="SELECT * FROM [FP_STATS]"/>
  </connection>
  <connection id="19" xr16:uid="{00000000-0015-0000-FFFF-FFFF11000000}" keepAlive="1" name="Query - GEN_CSV" description="Verbinding maken met de query GEN_CSV in de werkmap." type="5" refreshedVersion="8" saveData="1">
    <dbPr connection="Provider=Microsoft.Mashup.OleDb.1;Data Source=$Workbook$;Location=GEN_CSV;Extended Properties=&quot;&quot;" command="SELECT * FROM [GEN_CSV]"/>
  </connection>
  <connection id="20" xr16:uid="{00000000-0015-0000-FFFF-FFFF12000000}" keepAlive="1" name="Query - GRP_WIDTHS" description="Verbinding maken met de query GRP_WIDTHS in de werkmap." type="5" refreshedVersion="8" background="1" saveData="1">
    <dbPr connection="Provider=Microsoft.Mashup.OleDb.1;Data Source=$Workbook$;Location=GRP_WIDTHS;Extended Properties=&quot;&quot;" command="SELECT * FROM [GRP_WIDTHS]"/>
  </connection>
  <connection id="21" xr16:uid="{00000000-0015-0000-FFFF-FFFF13000000}" keepAlive="1" name="Query - KPI_C" description="Verbinding maken met de query KPI_C in de werkmap." type="5" refreshedVersion="0" background="1">
    <dbPr connection="Provider=Microsoft.Mashup.OleDb.1;Data Source=$Workbook$;Location=KPI_C;Extended Properties=&quot;&quot;" command="SELECT * FROM [KPI_C]"/>
  </connection>
  <connection id="22" xr16:uid="{00000000-0015-0000-FFFF-FFFF14000000}" keepAlive="1" name="Query - KPI_GDRUK" description="Verbinding maken met de query KPI_GDRUK in de werkmap." type="5" refreshedVersion="8" background="1" saveData="1">
    <dbPr connection="Provider=Microsoft.Mashup.OleDb.1;Data Source=$Workbook$;Location=KPI_GDRUK;Extended Properties=&quot;&quot;" command="SELECT * FROM [KPI_GDRUK]"/>
  </connection>
  <connection id="23" xr16:uid="{00000000-0015-0000-FFFF-FFFF15000000}" keepAlive="1" name="Query - KPI_GRP" description="Verbinding maken met de query KPI_GRP in de werkmap." type="5" refreshedVersion="0" background="1">
    <dbPr connection="Provider=Microsoft.Mashup.OleDb.1;Data Source=$Workbook$;Location=KPI_GRP;Extended Properties=&quot;&quot;" command="SELECT * FROM [KPI_GRP]"/>
  </connection>
  <connection id="24" xr16:uid="{00000000-0015-0000-FFFF-FFFF16000000}" keepAlive="1" name="Query - KPI_LOC" description="Verbinding maken met de query KPI_LOC in de werkmap." type="5" refreshedVersion="8" background="1" saveData="1">
    <dbPr connection="Provider=Microsoft.Mashup.OleDb.1;Data Source=$Workbook$;Location=KPI_LOC;Extended Properties=&quot;&quot;" command="SELECT * FROM [KPI_LOC]"/>
  </connection>
  <connection id="25" xr16:uid="{00000000-0015-0000-FFFF-FFFF17000000}" keepAlive="1" name="Query - KPI_LVL" description="Verbinding maken met de query KPI_LVL in de werkmap." type="5" refreshedVersion="0" background="1">
    <dbPr connection="Provider=Microsoft.Mashup.OleDb.1;Data Source=$Workbook$;Location=KPI_LVL;Extended Properties=&quot;&quot;" command="SELECT * FROM [KPI_LVL]"/>
  </connection>
  <connection id="26" xr16:uid="{00000000-0015-0000-FFFF-FFFF18000000}" keepAlive="1" name="Query - KPI_MV" description="Verbinding maken met de query KPI_MV in de werkmap." type="5" refreshedVersion="0" background="1">
    <dbPr connection="Provider=Microsoft.Mashup.OleDb.1;Data Source=$Workbook$;Location=KPI_MV;Extended Properties=&quot;&quot;" command="SELECT * FROM [KPI_MV]"/>
  </connection>
  <connection id="27" xr16:uid="{00000000-0015-0000-FFFF-FFFF19000000}" keepAlive="1" name="Query - KPI_NAVUL" description="Verbinding maken met de query KPI_NAVUL in de werkmap." type="5" refreshedVersion="0" background="1">
    <dbPr connection="Provider=Microsoft.Mashup.OleDb.1;Data Source=$Workbook$;Location=KPI_NAVUL;Extended Properties=&quot;&quot;" command="SELECT * FROM [KPI_NAVUL]"/>
  </connection>
  <connection id="28" xr16:uid="{00000000-0015-0000-FFFF-FFFF1A000000}" keepAlive="1" name="Query - KPI_PL" description="Verbinding maken met de query KPI_PL in de werkmap." type="5" refreshedVersion="0" background="1">
    <dbPr connection="Provider=Microsoft.Mashup.OleDb.1;Data Source=$Workbook$;Location=KPI_PL;Extended Properties=&quot;&quot;" command="SELECT * FROM [KPI_PL]"/>
  </connection>
  <connection id="29" xr16:uid="{00000000-0015-0000-FFFF-FFFF1B000000}" keepAlive="1" name="Query - KPI_PSLT" description="Verbinding maken met de query KPI_PSLT in de werkmap." type="5" refreshedVersion="0" background="1">
    <dbPr connection="Provider=Microsoft.Mashup.OleDb.1;Data Source=$Workbook$;Location=KPI_PSLT;Extended Properties=&quot;&quot;" command="SELECT * FROM [KPI_PSLT]"/>
  </connection>
  <connection id="30" xr16:uid="{00000000-0015-0000-FFFF-FFFF1C000000}" keepAlive="1" name="Query - KPI_UREN" description="Verbinding maken met de query KPI_UREN in de werkmap." type="5" refreshedVersion="0" background="1">
    <dbPr connection="Provider=Microsoft.Mashup.OleDb.1;Data Source=$Workbook$;Location=KPI_UREN;Extended Properties=&quot;&quot;" command="SELECT * FROM [KPI_UREN]"/>
  </connection>
  <connection id="31" xr16:uid="{00000000-0015-0000-FFFF-FFFF1D000000}" keepAlive="1" name="Query - KPI_VOL" description="Verbinding maken met de query KPI_VOL in de werkmap." type="5" refreshedVersion="0" background="1">
    <dbPr connection="Provider=Microsoft.Mashup.OleDb.1;Data Source=$Workbook$;Location=KPI_VOL;Extended Properties=&quot;&quot;" command="SELECT * FROM [KPI_VOL]"/>
  </connection>
  <connection id="32" xr16:uid="{00000000-0015-0000-FFFF-FFFF1E000000}" keepAlive="1" name="Query - L_HEIGHTS" description="Verbinding maken met de query L_HEIGHTS in de werkmap." type="5" refreshedVersion="0" background="1">
    <dbPr connection="Provider=Microsoft.Mashup.OleDb.1;Data Source=$Workbook$;Location=L_HEIGHTS;Extended Properties=&quot;&quot;" command="SELECT * FROM [L_HEIGHTS]"/>
  </connection>
  <connection id="33" xr16:uid="{00000000-0015-0000-FFFF-FFFF1F000000}" keepAlive="1" name="Query - L_LOCS" description="Verbinding maken met de query L_LOCS in de werkmap." type="5" refreshedVersion="0" background="1">
    <dbPr connection="Provider=Microsoft.Mashup.OleDb.1;Data Source=$Workbook$;Location=L_LOCS;Extended Properties=&quot;&quot;" command="SELECT * FROM [L_LOCS]"/>
  </connection>
  <connection id="34" xr16:uid="{00000000-0015-0000-FFFF-FFFF20000000}" keepAlive="1" name="Query - L_LOCTYPE" description="Verbinding maken met de query L_LOCTYPE in de werkmap." type="5" refreshedVersion="0" background="1">
    <dbPr connection="Provider=Microsoft.Mashup.OleDb.1;Data Source=$Workbook$;Location=L_LOCTYPE;Extended Properties=&quot;&quot;" command="SELECT * FROM [L_LOCTYPE]"/>
  </connection>
  <connection id="35" xr16:uid="{00000000-0015-0000-FFFF-FFFF21000000}" keepAlive="1" name="Query - ListsFindMinDiff" description="Verbinding maken met de query ListsFindMinDiff in de werkmap." type="5" refreshedVersion="0" background="1">
    <dbPr connection="Provider=Microsoft.Mashup.OleDb.1;Data Source=$Workbook$;Location=ListsFindMinDiff;Extended Properties=&quot;&quot;" command="SELECT * FROM [ListsFindMinDiff]"/>
  </connection>
  <connection id="36" xr16:uid="{00000000-0015-0000-FFFF-FFFF22000000}" keepAlive="1" name="Query - LOCS_A" description="Verbinding maken met de query LOCS_A in de werkmap." type="5" refreshedVersion="8" background="1" saveData="1">
    <dbPr connection="Provider=Microsoft.Mashup.OleDb.1;Data Source=$Workbook$;Location=LOCS_A;Extended Properties=&quot;&quot;" command="SELECT * FROM [LOCS_A]"/>
  </connection>
  <connection id="37" xr16:uid="{00000000-0015-0000-FFFF-FFFF23000000}" keepAlive="1" name="Query - LOCS_E" description="Verbinding maken met de query LOCS_E in de werkmap." type="5" refreshedVersion="8" background="1" saveData="1">
    <dbPr connection="Provider=Microsoft.Mashup.OleDb.1;Data Source=$Workbook$;Location=LOCS_E;Extended Properties=&quot;&quot;" command="SELECT * FROM [LOCS_E]"/>
  </connection>
  <connection id="38" xr16:uid="{81FBF676-CAE4-4405-98AF-77EB62551F89}" keepAlive="1" name="Query - MVO_Afzet" description="Verbinding maken met de query MVO_Afzet in de werkmap." type="5" refreshedVersion="0" background="1">
    <dbPr connection="Provider=Microsoft.Mashup.OleDb.1;Data Source=$Workbook$;Location=MVO_Afzet;Extended Properties=&quot;&quot;" command="SELECT * FROM [MVO_Afzet]"/>
  </connection>
  <connection id="39" xr16:uid="{C8777CB8-2343-464A-AB79-B96F2DF5879A}" keepAlive="1" name="Query - MVO_Afzet_w" description="Verbinding maken met de query MVO_Afzet_w in de werkmap." type="5" refreshedVersion="0" background="1">
    <dbPr connection="Provider=Microsoft.Mashup.OleDb.1;Data Source=$Workbook$;Location=MVO_Afzet_w;Extended Properties=&quot;&quot;" command="SELECT * FROM [MVO_Afzet_w]"/>
  </connection>
  <connection id="40" xr16:uid="{00000000-0015-0000-FFFF-FFFF24000000}" keepAlive="1" name="Query - Orders" description="Verbinding maken met de query Orders in de werkmap." type="5" refreshedVersion="0" background="1">
    <dbPr connection="Provider=Microsoft.Mashup.OleDb.1;Data Source=$Workbook$;Location=Orders;Extended Properties=&quot;&quot;" command="SELECT * FROM [Orders]"/>
  </connection>
  <connection id="41" xr16:uid="{00000000-0015-0000-FFFF-FFFF25000000}" keepAlive="1" name="Query - ORDERS1" description="Verbinding maken met de query ORDERS in de werkmap." type="5" refreshedVersion="0" background="1">
    <dbPr connection="Provider=Microsoft.Mashup.OleDb.1;Data Source=$Workbook$;Location=ORDERS;Extended Properties=&quot;&quot;" command="SELECT * FROM [ORDERS]"/>
  </connection>
  <connection id="42" xr16:uid="{00000000-0015-0000-FFFF-FFFF26000000}" keepAlive="1" name="Query - Promo" description="Verbinding maken met de query Promo in de werkmap." type="5" refreshedVersion="0" background="1">
    <dbPr connection="Provider=Microsoft.Mashup.OleDb.1;Data Source=$Workbook$;Location=Promo;Extended Properties=&quot;&quot;" command="SELECT * FROM [Promo]"/>
  </connection>
  <connection id="43" xr16:uid="{00000000-0015-0000-FFFF-FFFF27000000}" keepAlive="1" name="Query - Ratio" description="Verbinding maken met de query Ratio in de werkmap." type="5" refreshedVersion="0" background="1">
    <dbPr connection="Provider=Microsoft.Mashup.OleDb.1;Data Source=$Workbook$;Location=Ratio;Extended Properties=&quot;&quot;" command="SELECT * FROM [Ratio]"/>
  </connection>
  <connection id="44" xr16:uid="{00000000-0015-0000-FFFF-FFFF28000000}" keepAlive="1" name="Query - ROOT" description="Verbinding maken met de query ROOT in de werkmap." type="5" refreshedVersion="8" background="1" saveData="1">
    <dbPr connection="Provider=Microsoft.Mashup.OleDb.1;Data Source=$Workbook$;Location=ROOT;Extended Properties=&quot;&quot;" command="SELECT * FROM [ROOT]"/>
  </connection>
  <connection id="45" xr16:uid="{00000000-0015-0000-FFFF-FFFF29000000}" keepAlive="1" name="Query - SALES" description="Verbinding maken met de query SALES in de werkmap." type="5" refreshedVersion="0" background="1">
    <dbPr connection="Provider=Microsoft.Mashup.OleDb.1;Data Source=$Workbook$;Location=SALES;Extended Properties=&quot;&quot;" command="SELECT * FROM [SALES]"/>
  </connection>
  <connection id="46" xr16:uid="{AA1DE2E9-6CFC-444F-8C7A-AF70FA5314B6}" keepAlive="1" name="Query - SharePoint" description="Verbinding maken met de query SharePoint in de werkmap." type="5" refreshedVersion="0" background="1">
    <dbPr connection="Provider=Microsoft.Mashup.OleDb.1;Data Source=$Workbook$;Location=SharePoint;Extended Properties=&quot;&quot;" command="SELECT * FROM [SharePoint]"/>
  </connection>
  <connection id="47" xr16:uid="{00000000-0015-0000-FFFF-FFFF2A000000}" keepAlive="1" name="Query - TBL_ART" description="Verbinding maken met de query TBL_ART in de werkmap." type="5" refreshedVersion="0" background="1">
    <dbPr connection="Provider=Microsoft.Mashup.OleDb.1;Data Source=$Workbook$;Location=TBL_ART;Extended Properties=&quot;&quot;" command="SELECT * FROM [TBL_ART]"/>
  </connection>
  <connection id="48" xr16:uid="{00000000-0015-0000-FFFF-FFFF2B000000}" keepAlive="1" name="Query - TBL_KPI" description="Verbinding maken met de query TBL_KPI in de werkmap." type="5" refreshedVersion="8" saveData="1">
    <dbPr connection="Provider=Microsoft.Mashup.OleDb.1;Data Source=$Workbook$;Location=TBL_KPI;Extended Properties=&quot;&quot;" command="SELECT * FROM [TBL_KPI]"/>
  </connection>
  <connection id="49" xr16:uid="{00000000-0015-0000-FFFF-FFFF2C000000}" keepAlive="1" name="Query - TBL_LOC" description="Verbinding maken met de query TBL_LOC in de werkmap." type="5" refreshedVersion="8" saveData="1">
    <dbPr connection="Provider=Microsoft.Mashup.OleDb.1;Data Source=$Workbook$;Location=TBL_LOC;Extended Properties=&quot;&quot;" command="SELECT * FROM [TBL_LOC]"/>
  </connection>
  <connection id="50" xr16:uid="{00000000-0015-0000-FFFF-FFFF2D000000}" keepAlive="1" name="Query - TBL_LOC_LOCAL" description="Verbinding maken met de query TBL_LOC_LOCAL in de werkmap." type="5" refreshedVersion="8" background="1" saveData="1">
    <dbPr connection="Provider=Microsoft.Mashup.OleDb.1;Data Source=$Workbook$;Location=TBL_LOC_LOCAL;Extended Properties=&quot;&quot;" command="SELECT * FROM [TBL_LOC_LOCAL]"/>
  </connection>
  <connection id="51" xr16:uid="{00000000-0015-0000-FFFF-FFFF2E000000}" keepAlive="1" name="Query - TBL_LOCUS" description="Verbinding maken met de query TBL_LOCUS in de werkmap." type="5" refreshedVersion="8" background="1" saveData="1">
    <dbPr connection="Provider=Microsoft.Mashup.OleDb.1;Data Source=$Workbook$;Location=TBL_LOCUS;Extended Properties=&quot;&quot;" command="SELECT * FROM [TBL_LOCUS]"/>
  </connection>
  <connection id="52" xr16:uid="{00000000-0015-0000-FFFF-FFFF2F000000}" odcFile="\\jumbo.local\hkt-usrdata\N\nilskuppen\Documents\Mijn gegevensbronnen\Query - TBL_MAXVAK.odc" keepAlive="1" name="Query - TBL_MAXVAK" description="Verbinding maken met de query TBL_MAXVAK in de werkmap." type="5" refreshedVersion="8" minRefreshableVersion="3" saveData="1">
    <dbPr connection="Provider=Microsoft.Mashup.OleDb.1;Data Source=$Workbook$;Location=TBL_MAXVAK;Extended Properties=&quot;&quot;" command="SELECT * FROM [TBL_MAXVAK]"/>
  </connection>
  <connection id="53" xr16:uid="{00000000-0015-0000-FFFF-FFFF30000000}" keepAlive="1" name="Query - TBL_MAXVAK_LOCAL" description="Verbinding maken met de query TBL_MAXVAK_LOCAL in de werkmap." type="5" refreshedVersion="0" background="1">
    <dbPr connection="Provider=Microsoft.Mashup.OleDb.1;Data Source=$Workbook$;Location=TBL_MAXVAK_LOCAL;Extended Properties=&quot;&quot;" command="SELECT * FROM [TBL_MAXVAK_LOCAL]"/>
  </connection>
  <connection id="54" xr16:uid="{00000000-0015-0000-FFFF-FFFF31000000}" keepAlive="1" name="Query - TBL_STOCK" description="Verbinding maken met de query TBL_STOCK in de werkmap." type="5" refreshedVersion="8" background="1" saveData="1">
    <dbPr connection="Provider=Microsoft.Mashup.OleDb.1;Data Source=$Workbook$;Location=TBL_STOCK;Extended Properties=&quot;&quot;" command="SELECT * FROM [TBL_STOCK]"/>
  </connection>
  <connection id="55" xr16:uid="{00000000-0015-0000-FFFF-FFFF32000000}" keepAlive="1" name="Query - UPDATE" description="Verbinding maken met de query UPDATE in de werkmap." type="5" refreshedVersion="8" saveData="1">
    <dbPr connection="Provider=Microsoft.Mashup.OleDb.1;Data Source=$Workbook$;Location=UPDATE;Extended Properties=&quot;&quot;" command="SELECT * FROM [UPDATE]"/>
  </connection>
  <connection id="56" xr16:uid="{00000000-0015-0000-FFFF-FFFF33000000}" keepAlive="1" name="Query - WidthRound" description="Verbinding maken met de query WidthRound in de werkmap." type="5" refreshedVersion="0" background="1">
    <dbPr connection="Provider=Microsoft.Mashup.OleDb.1;Data Source=$Workbook$;Location=WidthRound;Extended Properties=&quot;&quot;" command="SELECT * FROM [WidthRound]"/>
  </connection>
  <connection id="57" xr16:uid="{00000000-0015-0000-FFFF-FFFF34000000}" keepAlive="1" name="Query - Z_Status" description="Verbinding maken met de query Z_Status in de werkmap." type="5" refreshedVersion="0" background="1">
    <dbPr connection="Provider=Microsoft.Mashup.OleDb.1;Data Source=$Workbook$;Location=Z_Status;Extended Properties=&quot;&quot;" command="SELECT * FROM [Z_Status]"/>
  </connection>
</connections>
</file>

<file path=xl/sharedStrings.xml><?xml version="1.0" encoding="utf-8"?>
<sst xmlns="http://schemas.openxmlformats.org/spreadsheetml/2006/main" count="11216" uniqueCount="678">
  <si>
    <t>LOG:</t>
  </si>
  <si>
    <t>ZONE</t>
  </si>
  <si>
    <t>UPDATE</t>
  </si>
  <si>
    <t>EFC</t>
  </si>
  <si>
    <t>KW</t>
  </si>
  <si>
    <t>VR</t>
  </si>
  <si>
    <t>Goed</t>
  </si>
  <si>
    <t>8961 / 10088</t>
  </si>
  <si>
    <t>3320 / 3744</t>
  </si>
  <si>
    <t>O:\Map A-F\Central Online MVO\1_Tool &amp; Dashboard\KPI MVO</t>
  </si>
  <si>
    <t>V.O. - Week KPI's</t>
  </si>
  <si>
    <t>TEST</t>
  </si>
  <si>
    <t>YW</t>
  </si>
  <si>
    <t>CAT</t>
  </si>
  <si>
    <t>VAL</t>
  </si>
  <si>
    <t>202408</t>
  </si>
  <si>
    <t>8833</t>
  </si>
  <si>
    <t>Loc - Closing</t>
  </si>
  <si>
    <t>DV</t>
  </si>
  <si>
    <t/>
  </si>
  <si>
    <t>Navultaken</t>
  </si>
  <si>
    <t>Slotting - Grp %</t>
  </si>
  <si>
    <t>Slotting % - &lt; 80%</t>
  </si>
  <si>
    <t>Slotting % - &gt; 120%</t>
  </si>
  <si>
    <t>Uren - Navullen</t>
  </si>
  <si>
    <t>202409</t>
  </si>
  <si>
    <t>202410</t>
  </si>
  <si>
    <t>202411</t>
  </si>
  <si>
    <t>202412</t>
  </si>
  <si>
    <t>Loc - Vol % - Brood</t>
  </si>
  <si>
    <t>116 / 127</t>
  </si>
  <si>
    <t>Loc - Vol % - Pallet</t>
  </si>
  <si>
    <t>353 / 379</t>
  </si>
  <si>
    <t>87 / 108</t>
  </si>
  <si>
    <t>Loc - Vol % - RolCo</t>
  </si>
  <si>
    <t>61 / 67</t>
  </si>
  <si>
    <t>82 / 88</t>
  </si>
  <si>
    <t>393 / 412</t>
  </si>
  <si>
    <t>Loc - Vol % - Schap</t>
  </si>
  <si>
    <t>13495 / 16041</t>
  </si>
  <si>
    <t>870 / 907</t>
  </si>
  <si>
    <t>3168 / 3812</t>
  </si>
  <si>
    <t>Navultaken - Omdoos</t>
  </si>
  <si>
    <t>Navultaken - Pallet</t>
  </si>
  <si>
    <t>Navultaken - Schap</t>
  </si>
  <si>
    <t>Week CE</t>
  </si>
  <si>
    <t>Week orders</t>
  </si>
  <si>
    <t>202413</t>
  </si>
  <si>
    <t>Afzet lvl - 1</t>
  </si>
  <si>
    <t>Afzet lvl - 5</t>
  </si>
  <si>
    <t>Afzet lvl - 9</t>
  </si>
  <si>
    <t>118 / 127</t>
  </si>
  <si>
    <t>347 / 379</t>
  </si>
  <si>
    <t>80 / 88</t>
  </si>
  <si>
    <t>395 / 412</t>
  </si>
  <si>
    <t>13354 / 16030</t>
  </si>
  <si>
    <t>877 / 907</t>
  </si>
  <si>
    <t>3153 / 3811</t>
  </si>
  <si>
    <t>202414</t>
  </si>
  <si>
    <t>Gangdruk - 1</t>
  </si>
  <si>
    <t>HE 838,048780487805</t>
  </si>
  <si>
    <t>BE 1983,2668329177056</t>
  </si>
  <si>
    <t>JM 2288,2122905027936</t>
  </si>
  <si>
    <t>Gangdruk - 2</t>
  </si>
  <si>
    <t>AG 1568,7365591397847</t>
  </si>
  <si>
    <t>HB 836,26623376623377</t>
  </si>
  <si>
    <t>JO 2254,6349206349205</t>
  </si>
  <si>
    <t>Gangdruk - 3</t>
  </si>
  <si>
    <t>AZ 1518,2105263157894</t>
  </si>
  <si>
    <t>HC 650,18382352941182</t>
  </si>
  <si>
    <t>JA 2092,0612244897961</t>
  </si>
  <si>
    <t>115 / 127</t>
  </si>
  <si>
    <t>350 / 379</t>
  </si>
  <si>
    <t>56 / 67</t>
  </si>
  <si>
    <t>81 / 88</t>
  </si>
  <si>
    <t>394 / 412</t>
  </si>
  <si>
    <t>13365 / 16006</t>
  </si>
  <si>
    <t>852 / 907</t>
  </si>
  <si>
    <t>3222 / 3811</t>
  </si>
  <si>
    <t>N.V.T.</t>
  </si>
  <si>
    <t>202415</t>
  </si>
  <si>
    <t>HB 584,97816593886466</t>
  </si>
  <si>
    <t>AU 3344,5517241379312</t>
  </si>
  <si>
    <t>JO 3542,8205128205127</t>
  </si>
  <si>
    <t>AX 3229,310344827586</t>
  </si>
  <si>
    <t>HE 583,56979405034326</t>
  </si>
  <si>
    <t>JC 3060,0512820512822</t>
  </si>
  <si>
    <t>AF 3087,3939393939395</t>
  </si>
  <si>
    <t>HC 461,22850122850122</t>
  </si>
  <si>
    <t>JL 2648,9743589743589</t>
  </si>
  <si>
    <t>107 / 127</t>
  </si>
  <si>
    <t>356 / 378</t>
  </si>
  <si>
    <t>59 / 67</t>
  </si>
  <si>
    <t>366 / 412</t>
  </si>
  <si>
    <t>13453 / 16006</t>
  </si>
  <si>
    <t>836 / 907</t>
  </si>
  <si>
    <t>3100 / 3811</t>
  </si>
  <si>
    <t>202416</t>
  </si>
  <si>
    <t>HB 569,49781659388645</t>
  </si>
  <si>
    <t>AU 3416,344827586207</t>
  </si>
  <si>
    <t>JO 3582,102564102564</t>
  </si>
  <si>
    <t>AX 3240,1379310344828</t>
  </si>
  <si>
    <t>HE 554,370709382151</t>
  </si>
  <si>
    <t>JL 3227,0256410256411</t>
  </si>
  <si>
    <t>BA 3015,3125</t>
  </si>
  <si>
    <t>HC 533,63636363636363</t>
  </si>
  <si>
    <t>JC 3173,7948717948716</t>
  </si>
  <si>
    <t>359 / 378</t>
  </si>
  <si>
    <t>86 / 109</t>
  </si>
  <si>
    <t>368 / 412</t>
  </si>
  <si>
    <t>13744 / 16005</t>
  </si>
  <si>
    <t>3209 / 3813</t>
  </si>
  <si>
    <t>202417</t>
  </si>
  <si>
    <t>HB 540,56768558951967</t>
  </si>
  <si>
    <t>BD 3358,1578947368421</t>
  </si>
  <si>
    <t>JO 3180,8717948717949</t>
  </si>
  <si>
    <t>AX 3158,344827586207</t>
  </si>
  <si>
    <t>HE 528,741418764302</t>
  </si>
  <si>
    <t>JL 2948,5128205128203</t>
  </si>
  <si>
    <t>AU 3056,344827586207</t>
  </si>
  <si>
    <t>HC 496,16707616707612</t>
  </si>
  <si>
    <t>JC 2815,6923076923076</t>
  </si>
  <si>
    <t>106 / 127</t>
  </si>
  <si>
    <t>362 / 378</t>
  </si>
  <si>
    <t>88 / 109</t>
  </si>
  <si>
    <t>83 / 88</t>
  </si>
  <si>
    <t>376 / 413</t>
  </si>
  <si>
    <t>13211 / 16069</t>
  </si>
  <si>
    <t>840 / 907</t>
  </si>
  <si>
    <t>3126 / 3813</t>
  </si>
  <si>
    <t>202418</t>
  </si>
  <si>
    <t>HB 561,17903930131013</t>
  </si>
  <si>
    <t>AU 3296,0689655172414</t>
  </si>
  <si>
    <t>JO 3340,4102564102564</t>
  </si>
  <si>
    <t>AX 3209,2413793103447</t>
  </si>
  <si>
    <t>HE 553,31807780320366</t>
  </si>
  <si>
    <t>JL 3311,9487179487178</t>
  </si>
  <si>
    <t>BD 3123,3684210526317</t>
  </si>
  <si>
    <t>HC 504,054054054054</t>
  </si>
  <si>
    <t>JC 3034,5641025641025</t>
  </si>
  <si>
    <t>93 / 109</t>
  </si>
  <si>
    <t>62 / 67</t>
  </si>
  <si>
    <t>378 / 413</t>
  </si>
  <si>
    <t>13255 / 16069</t>
  </si>
  <si>
    <t>848 / 907</t>
  </si>
  <si>
    <t>3214 / 3813</t>
  </si>
  <si>
    <t>202419</t>
  </si>
  <si>
    <t>HB 536,83406113537126</t>
  </si>
  <si>
    <t>BD 2953,8947368421054</t>
  </si>
  <si>
    <t>JO 3371,5384615384614</t>
  </si>
  <si>
    <t>AU 2919,1724137931033</t>
  </si>
  <si>
    <t>HE 504,82837528604114</t>
  </si>
  <si>
    <t>JC 3057,7948717948716</t>
  </si>
  <si>
    <t>AX 2916,1379310344828</t>
  </si>
  <si>
    <t>HC 457,37100737100735</t>
  </si>
  <si>
    <t>JL 2896,7179487179487</t>
  </si>
  <si>
    <t>367 / 378</t>
  </si>
  <si>
    <t>87 / 109</t>
  </si>
  <si>
    <t>374 / 413</t>
  </si>
  <si>
    <t>13082 / 16012</t>
  </si>
  <si>
    <t>843 / 907</t>
  </si>
  <si>
    <t>3153 / 3813</t>
  </si>
  <si>
    <t>202420</t>
  </si>
  <si>
    <t>HB 856,00649350649348</t>
  </si>
  <si>
    <t>FC 2468,0816326530612</t>
  </si>
  <si>
    <t>JM 1998,6033519553075</t>
  </si>
  <si>
    <t>FB 2238,2527881040892</t>
  </si>
  <si>
    <t>HE 855,57491289198606</t>
  </si>
  <si>
    <t>JC 1976,9206349206349</t>
  </si>
  <si>
    <t>BE 1819,3765586034913</t>
  </si>
  <si>
    <t>HC 763,79790940766554</t>
  </si>
  <si>
    <t>JO 1929,968253968254</t>
  </si>
  <si>
    <t>368 / 378</t>
  </si>
  <si>
    <t>65 / 67</t>
  </si>
  <si>
    <t>78 / 88</t>
  </si>
  <si>
    <t>368 / 413</t>
  </si>
  <si>
    <t>13493 / 16070</t>
  </si>
  <si>
    <t>867 / 907</t>
  </si>
  <si>
    <t>3270 / 3813</t>
  </si>
  <si>
    <t>202421</t>
  </si>
  <si>
    <t>HE 921,42857142857144</t>
  </si>
  <si>
    <t>FC 2953,9183673469388</t>
  </si>
  <si>
    <t>JO 2403,0476190476193</t>
  </si>
  <si>
    <t>FB 2693,8661710037177</t>
  </si>
  <si>
    <t>HB 866,81818181818176</t>
  </si>
  <si>
    <t>JM 2231,5083798882683</t>
  </si>
  <si>
    <t>BE 2202,3940149625932</t>
  </si>
  <si>
    <t>HD 859,30313588850174</t>
  </si>
  <si>
    <t>JP 2089,6129032258063</t>
  </si>
  <si>
    <t>87 / 107</t>
  </si>
  <si>
    <t>13237 / 16070</t>
  </si>
  <si>
    <t>858 / 907</t>
  </si>
  <si>
    <t>3185 / 3813</t>
  </si>
  <si>
    <t>202422</t>
  </si>
  <si>
    <t>HB 983,34415584415581</t>
  </si>
  <si>
    <t>FB 2680,185873605948</t>
  </si>
  <si>
    <t>JO 2224,3809523809523</t>
  </si>
  <si>
    <t>BE 1941,9201995012468</t>
  </si>
  <si>
    <t>HE 886,58536585365857</t>
  </si>
  <si>
    <t>JM 2202,0670391061453</t>
  </si>
  <si>
    <t>AG 1692,2043010752686</t>
  </si>
  <si>
    <t>HC 789,40766550522653</t>
  </si>
  <si>
    <t>JA 2089,9183673469388</t>
  </si>
  <si>
    <t>88 / 107</t>
  </si>
  <si>
    <t>76 / 88</t>
  </si>
  <si>
    <t>367 / 413</t>
  </si>
  <si>
    <t>13135 / 16070</t>
  </si>
  <si>
    <t>851 / 907</t>
  </si>
  <si>
    <t>3177 / 3813</t>
  </si>
  <si>
    <t>202424</t>
  </si>
  <si>
    <t>HB 1103,2792207792209</t>
  </si>
  <si>
    <t>FB 2612,6022304832713</t>
  </si>
  <si>
    <t>JM 2246,0893854748606</t>
  </si>
  <si>
    <t>BE 1957,5561097256857</t>
  </si>
  <si>
    <t>HE 917,94425087108016</t>
  </si>
  <si>
    <t>JO 2198,8571428571427</t>
  </si>
  <si>
    <t>AZ 1735,578947368421</t>
  </si>
  <si>
    <t>HC 865,08710801393727</t>
  </si>
  <si>
    <t>JP 2179,483870967742</t>
  </si>
  <si>
    <t>104 / 127</t>
  </si>
  <si>
    <t>364 / 378</t>
  </si>
  <si>
    <t>371 / 413</t>
  </si>
  <si>
    <t>13180 / 16362</t>
  </si>
  <si>
    <t>837 / 907</t>
  </si>
  <si>
    <t>3215 / 3813</t>
  </si>
  <si>
    <t>202426</t>
  </si>
  <si>
    <t>Afzet lvl - 0</t>
  </si>
  <si>
    <t>Afzet lvl - 3</t>
  </si>
  <si>
    <t>Afzet lvl - 6</t>
  </si>
  <si>
    <t>Afzet lvl - 7</t>
  </si>
  <si>
    <t>HE, 1089</t>
  </si>
  <si>
    <t>HD, 1061</t>
  </si>
  <si>
    <t>HB, 1021</t>
  </si>
  <si>
    <t>Gangdruk - 4</t>
  </si>
  <si>
    <t>HC, 770</t>
  </si>
  <si>
    <t>FB, 2410</t>
  </si>
  <si>
    <t>BE, 1864</t>
  </si>
  <si>
    <t>AZ, 1600</t>
  </si>
  <si>
    <t>AG, 1591</t>
  </si>
  <si>
    <t>Gangdruk - 5</t>
  </si>
  <si>
    <t>AC, 1341</t>
  </si>
  <si>
    <t>JO, 2152</t>
  </si>
  <si>
    <t>JM, 2097</t>
  </si>
  <si>
    <t>JP, 2081</t>
  </si>
  <si>
    <t>JA, 2012</t>
  </si>
  <si>
    <t>JN, 2011</t>
  </si>
  <si>
    <t>108 / 148</t>
  </si>
  <si>
    <t>365 / 381</t>
  </si>
  <si>
    <t>85 / 108</t>
  </si>
  <si>
    <t>Loc - Vol % - Pal-Schap</t>
  </si>
  <si>
    <t>116 / 116</t>
  </si>
  <si>
    <t>64 / 69</t>
  </si>
  <si>
    <t>84 / 86</t>
  </si>
  <si>
    <t>13065 / 15996</t>
  </si>
  <si>
    <t>831 / 907</t>
  </si>
  <si>
    <t>3130 / 3803</t>
  </si>
  <si>
    <t>UNL</t>
  </si>
  <si>
    <t>15 / 15</t>
  </si>
  <si>
    <t>202430</t>
  </si>
  <si>
    <t>HE, 756</t>
  </si>
  <si>
    <t>HB, 694</t>
  </si>
  <si>
    <t>HC, 580</t>
  </si>
  <si>
    <t>HD, 545</t>
  </si>
  <si>
    <t>FC, 1774</t>
  </si>
  <si>
    <t>FB, 1498</t>
  </si>
  <si>
    <t>BE, 1345</t>
  </si>
  <si>
    <t>AG, 1241</t>
  </si>
  <si>
    <t>AZ, 1061</t>
  </si>
  <si>
    <t>JO, 1619</t>
  </si>
  <si>
    <t>JP, 1550</t>
  </si>
  <si>
    <t>JM, 1525</t>
  </si>
  <si>
    <t>JC, 1509</t>
  </si>
  <si>
    <t>JA, 1494</t>
  </si>
  <si>
    <t>111 / 135</t>
  </si>
  <si>
    <t>363 / 378</t>
  </si>
  <si>
    <t>90 / 107</t>
  </si>
  <si>
    <t>115 / 115</t>
  </si>
  <si>
    <t>66 / 73</t>
  </si>
  <si>
    <t>83 / 86</t>
  </si>
  <si>
    <t>362 / 413</t>
  </si>
  <si>
    <t>12566 / 15996</t>
  </si>
  <si>
    <t>841 / 907</t>
  </si>
  <si>
    <t>3075 / 3803</t>
  </si>
  <si>
    <t>14 / 15</t>
  </si>
  <si>
    <t>202432</t>
  </si>
  <si>
    <t>8837</t>
  </si>
  <si>
    <t>,0x</t>
  </si>
  <si>
    <t>28 / 29</t>
  </si>
  <si>
    <t>8836</t>
  </si>
  <si>
    <t>Afzet lvl - 2</t>
  </si>
  <si>
    <t>Afzet lvl - 4</t>
  </si>
  <si>
    <t>HE, 808</t>
  </si>
  <si>
    <t>HB, 689</t>
  </si>
  <si>
    <t>HD, 599</t>
  </si>
  <si>
    <t>HC, 581</t>
  </si>
  <si>
    <t>BE, 1362</t>
  </si>
  <si>
    <t>AG, 1280</t>
  </si>
  <si>
    <t>AH, 1145</t>
  </si>
  <si>
    <t>AZ, 1124</t>
  </si>
  <si>
    <t>AC, 996</t>
  </si>
  <si>
    <t>JM, 1671</t>
  </si>
  <si>
    <t>JA, 1662</t>
  </si>
  <si>
    <t>JO, 1632</t>
  </si>
  <si>
    <t>JP, 1619</t>
  </si>
  <si>
    <t>JC, 1616</t>
  </si>
  <si>
    <t>HC, 4306</t>
  </si>
  <si>
    <t>HB, 3515</t>
  </si>
  <si>
    <t>HA, 2897</t>
  </si>
  <si>
    <t>HD, 174</t>
  </si>
  <si>
    <t>CP, 13783</t>
  </si>
  <si>
    <t>CM, 13487</t>
  </si>
  <si>
    <t>CN, 11616</t>
  </si>
  <si>
    <t>CL, 10081</t>
  </si>
  <si>
    <t>EF, 10047</t>
  </si>
  <si>
    <t>JB, 1215</t>
  </si>
  <si>
    <t>JJ, 960</t>
  </si>
  <si>
    <t>JK, 759</t>
  </si>
  <si>
    <t>JC, 753</t>
  </si>
  <si>
    <t>JF, 409</t>
  </si>
  <si>
    <t>CB, 1689</t>
  </si>
  <si>
    <t>CM, 1467</t>
  </si>
  <si>
    <t>CL, 1398</t>
  </si>
  <si>
    <t>CJ, 1172</t>
  </si>
  <si>
    <t>CC, 950</t>
  </si>
  <si>
    <t>VB, 1571</t>
  </si>
  <si>
    <t>VL, 1375</t>
  </si>
  <si>
    <t>VM, 1101</t>
  </si>
  <si>
    <t>VI, 1084</t>
  </si>
  <si>
    <t>VA, 842</t>
  </si>
  <si>
    <t>97 / 102</t>
  </si>
  <si>
    <t>25 / 25</t>
  </si>
  <si>
    <t>93 / 93</t>
  </si>
  <si>
    <t>326 / 336</t>
  </si>
  <si>
    <t>65 / 65</t>
  </si>
  <si>
    <t>319 / 322</t>
  </si>
  <si>
    <t>48 / 53</t>
  </si>
  <si>
    <t>114 / 114</t>
  </si>
  <si>
    <t>82 / 86</t>
  </si>
  <si>
    <t>37 / 39</t>
  </si>
  <si>
    <t>49 / 52</t>
  </si>
  <si>
    <t>123 / 128</t>
  </si>
  <si>
    <t>13158 / 15924</t>
  </si>
  <si>
    <t>835 / 852</t>
  </si>
  <si>
    <t>3164 / 3803</t>
  </si>
  <si>
    <t>9419 / 10727</t>
  </si>
  <si>
    <t>3289 / 3729</t>
  </si>
  <si>
    <t>12449 / 16912</t>
  </si>
  <si>
    <t>888 / 1051</t>
  </si>
  <si>
    <t>3233 / 4344</t>
  </si>
  <si>
    <t>202433</t>
  </si>
  <si>
    <t>29 / 29</t>
  </si>
  <si>
    <t>HE, 925</t>
  </si>
  <si>
    <t>HB, 781</t>
  </si>
  <si>
    <t>HC, 630</t>
  </si>
  <si>
    <t>HD, 584</t>
  </si>
  <si>
    <t>BE, 1570</t>
  </si>
  <si>
    <t>AG, 1438</t>
  </si>
  <si>
    <t>AZ, 1359</t>
  </si>
  <si>
    <t>AH, 1239</t>
  </si>
  <si>
    <t>AC, 1086</t>
  </si>
  <si>
    <t>JM, 1887</t>
  </si>
  <si>
    <t>JC, 1876</t>
  </si>
  <si>
    <t>JA, 1849</t>
  </si>
  <si>
    <t>JO, 1775</t>
  </si>
  <si>
    <t>JP, 1774</t>
  </si>
  <si>
    <t>HC, 4710</t>
  </si>
  <si>
    <t>HB, 3519</t>
  </si>
  <si>
    <t>HA, 3065</t>
  </si>
  <si>
    <t>HD, 180</t>
  </si>
  <si>
    <t>CM, 16285</t>
  </si>
  <si>
    <t>CP, 16029</t>
  </si>
  <si>
    <t>CL, 12363</t>
  </si>
  <si>
    <t>CN, 12276</t>
  </si>
  <si>
    <t>EF, 10817</t>
  </si>
  <si>
    <t>JB, 1310</t>
  </si>
  <si>
    <t>JJ, 1011</t>
  </si>
  <si>
    <t>JK, 807</t>
  </si>
  <si>
    <t>JC, 799</t>
  </si>
  <si>
    <t>JF, 405</t>
  </si>
  <si>
    <t>CB, 1926</t>
  </si>
  <si>
    <t>CM, 1801</t>
  </si>
  <si>
    <t>CL, 1621</t>
  </si>
  <si>
    <t>CJ, 1328</t>
  </si>
  <si>
    <t>CG, 1134</t>
  </si>
  <si>
    <t>VB, 1524</t>
  </si>
  <si>
    <t>VL, 1519</t>
  </si>
  <si>
    <t>VM, 1310</t>
  </si>
  <si>
    <t>VI, 1184</t>
  </si>
  <si>
    <t>VK, 947</t>
  </si>
  <si>
    <t>326 / 335</t>
  </si>
  <si>
    <t>89 / 107</t>
  </si>
  <si>
    <t>317 / 322</t>
  </si>
  <si>
    <t>49 / 53</t>
  </si>
  <si>
    <t>113 / 113</t>
  </si>
  <si>
    <t>80 / 86</t>
  </si>
  <si>
    <t>372 / 413</t>
  </si>
  <si>
    <t>122 / 128</t>
  </si>
  <si>
    <t>12939 / 15925</t>
  </si>
  <si>
    <t>834 / 852</t>
  </si>
  <si>
    <t>3126 / 3803</t>
  </si>
  <si>
    <t>9393 / 10636</t>
  </si>
  <si>
    <t>3273 / 3729</t>
  </si>
  <si>
    <t>13162 / 16908</t>
  </si>
  <si>
    <t>892 / 1051</t>
  </si>
  <si>
    <t>3238 / 4344</t>
  </si>
  <si>
    <t>202434</t>
  </si>
  <si>
    <t>HE, 975</t>
  </si>
  <si>
    <t>HB, 853</t>
  </si>
  <si>
    <t>HC, 728</t>
  </si>
  <si>
    <t>HD, 575</t>
  </si>
  <si>
    <t>BE, 1695</t>
  </si>
  <si>
    <t>AG, 1485</t>
  </si>
  <si>
    <t>AX, 1319</t>
  </si>
  <si>
    <t>AU, 1296</t>
  </si>
  <si>
    <t>AC, 1147</t>
  </si>
  <si>
    <t>JM, 2143</t>
  </si>
  <si>
    <t>JC, 2078</t>
  </si>
  <si>
    <t>JA, 2042</t>
  </si>
  <si>
    <t>JO, 1859</t>
  </si>
  <si>
    <t>JP, 1858</t>
  </si>
  <si>
    <t>HC, 3393</t>
  </si>
  <si>
    <t>HB, 2591</t>
  </si>
  <si>
    <t>HA, 2174</t>
  </si>
  <si>
    <t>HD, 185</t>
  </si>
  <si>
    <t>CP, 15457</t>
  </si>
  <si>
    <t>CM, 15428</t>
  </si>
  <si>
    <t>CI, 12383</t>
  </si>
  <si>
    <t>CE, 8798</t>
  </si>
  <si>
    <t>CL, 8796</t>
  </si>
  <si>
    <t>JJ, 887</t>
  </si>
  <si>
    <t>JC, 869</t>
  </si>
  <si>
    <t>JB, 536</t>
  </si>
  <si>
    <t>JK, 506</t>
  </si>
  <si>
    <t>JF, 387</t>
  </si>
  <si>
    <t>CJ, 1253</t>
  </si>
  <si>
    <t>CL, 1227</t>
  </si>
  <si>
    <t>CG, 1058</t>
  </si>
  <si>
    <t>CF, 1055</t>
  </si>
  <si>
    <t>CK, 869</t>
  </si>
  <si>
    <t>VB, 1726</t>
  </si>
  <si>
    <t>VL, 1541</t>
  </si>
  <si>
    <t>VM, 1353</t>
  </si>
  <si>
    <t>VI, 1239</t>
  </si>
  <si>
    <t>VA, 971</t>
  </si>
  <si>
    <t>329 / 335</t>
  </si>
  <si>
    <t>83 / 107</t>
  </si>
  <si>
    <t>1 / 1</t>
  </si>
  <si>
    <t>377 / 413</t>
  </si>
  <si>
    <t>13226 / 15921</t>
  </si>
  <si>
    <t>837 / 852</t>
  </si>
  <si>
    <t>3137 / 3804</t>
  </si>
  <si>
    <t>8724 / 9822</t>
  </si>
  <si>
    <t>3366 / 3729</t>
  </si>
  <si>
    <t>12910 / 16903</t>
  </si>
  <si>
    <t>894 / 1051</t>
  </si>
  <si>
    <t>3254 / 4344</t>
  </si>
  <si>
    <t>202436</t>
  </si>
  <si>
    <t>HC, 747</t>
  </si>
  <si>
    <t>HD, 596</t>
  </si>
  <si>
    <t>HE, 355</t>
  </si>
  <si>
    <t>HB, 315</t>
  </si>
  <si>
    <t>AU, 1291</t>
  </si>
  <si>
    <t>AX, 1251</t>
  </si>
  <si>
    <t>AP, 1143</t>
  </si>
  <si>
    <t>AH, 1043</t>
  </si>
  <si>
    <t>AY, 998</t>
  </si>
  <si>
    <t>JC, 1090</t>
  </si>
  <si>
    <t>HC, 3533</t>
  </si>
  <si>
    <t>HA, 2770</t>
  </si>
  <si>
    <t>HB, 2559</t>
  </si>
  <si>
    <t>CP, 15644</t>
  </si>
  <si>
    <t>CM, 15272</t>
  </si>
  <si>
    <t>CI, 13705</t>
  </si>
  <si>
    <t>CE, 9769</t>
  </si>
  <si>
    <t>CL, 8411</t>
  </si>
  <si>
    <t>JJ, 976</t>
  </si>
  <si>
    <t>CJ, 1553</t>
  </si>
  <si>
    <t>CF, 1359</t>
  </si>
  <si>
    <t>CL, 1285</t>
  </si>
  <si>
    <t>CG, 1246</t>
  </si>
  <si>
    <t>CA, 1027</t>
  </si>
  <si>
    <t>VL, 1861</t>
  </si>
  <si>
    <t>JB, 1033</t>
  </si>
  <si>
    <t>JC, 822</t>
  </si>
  <si>
    <t>VB, 1607</t>
  </si>
  <si>
    <t>JK, 967</t>
  </si>
  <si>
    <t>JK, 530</t>
  </si>
  <si>
    <t>VM, 1554</t>
  </si>
  <si>
    <t>JQ, 917</t>
  </si>
  <si>
    <t>JB, 527</t>
  </si>
  <si>
    <t>VI, 1393</t>
  </si>
  <si>
    <t>JM, 900</t>
  </si>
  <si>
    <t>JF, 438</t>
  </si>
  <si>
    <t>VK, 1161</t>
  </si>
  <si>
    <t>12987 / 15713</t>
  </si>
  <si>
    <t>3083 / 3824</t>
  </si>
  <si>
    <t>12539 / 16901</t>
  </si>
  <si>
    <t>884 / 1051</t>
  </si>
  <si>
    <t>3260 / 4579</t>
  </si>
  <si>
    <t>202437</t>
  </si>
  <si>
    <t>HD, 9</t>
  </si>
  <si>
    <t>Loc - Vol % - PGS</t>
  </si>
  <si>
    <t>Loc - Vol % - Free Gift</t>
  </si>
  <si>
    <t>Loc - Vol % - B2B</t>
  </si>
  <si>
    <t>Loc - Vol % - DRS</t>
  </si>
  <si>
    <t xml:space="preserve">Loc - Vol % - </t>
  </si>
  <si>
    <t>Afzet lvl - 8</t>
  </si>
  <si>
    <t>Navultaken - Pal-Schap</t>
  </si>
  <si>
    <t>Navultaken - PGS</t>
  </si>
  <si>
    <t>Navultaken - B2B</t>
  </si>
  <si>
    <t>Navultaken - DRS</t>
  </si>
  <si>
    <t>Navultaken - RolCo</t>
  </si>
  <si>
    <t>Navultaken - Free Gift</t>
  </si>
  <si>
    <t xml:space="preserve">Navultaken - </t>
  </si>
  <si>
    <t>Navultaken - Brood</t>
  </si>
  <si>
    <t>HC, 705</t>
  </si>
  <si>
    <t>HD, 452</t>
  </si>
  <si>
    <t>HE, 325</t>
  </si>
  <si>
    <t>HB, 267</t>
  </si>
  <si>
    <t>AU, 1340</t>
  </si>
  <si>
    <t>AX, 1295</t>
  </si>
  <si>
    <t>AP, 1028</t>
  </si>
  <si>
    <t>AH, 1014</t>
  </si>
  <si>
    <t>AW, 962</t>
  </si>
  <si>
    <t>JC, 1005</t>
  </si>
  <si>
    <t>JB, 910</t>
  </si>
  <si>
    <t>JK, 892</t>
  </si>
  <si>
    <t>JA, 878</t>
  </si>
  <si>
    <t>JO, 878</t>
  </si>
  <si>
    <t>HC, 3063</t>
  </si>
  <si>
    <t>HA, 2160</t>
  </si>
  <si>
    <t>HB, 2150</t>
  </si>
  <si>
    <t>HD, 154</t>
  </si>
  <si>
    <t>CP, 15465</t>
  </si>
  <si>
    <t>CM, 14514</t>
  </si>
  <si>
    <t>CI, 14487</t>
  </si>
  <si>
    <t>CE, 8601</t>
  </si>
  <si>
    <t>EA, 8444</t>
  </si>
  <si>
    <t>JJ, 925</t>
  </si>
  <si>
    <t>JC, 897</t>
  </si>
  <si>
    <t>JK, 559</t>
  </si>
  <si>
    <t>JB, 545</t>
  </si>
  <si>
    <t>JF, 442</t>
  </si>
  <si>
    <t>HC, 991</t>
  </si>
  <si>
    <t>HD, 948</t>
  </si>
  <si>
    <t>HB, 893</t>
  </si>
  <si>
    <t>HA, 265</t>
  </si>
  <si>
    <t>CJ, 1561</t>
  </si>
  <si>
    <t>CF, 1308</t>
  </si>
  <si>
    <t>CL, 1267</t>
  </si>
  <si>
    <t>CG, 1241</t>
  </si>
  <si>
    <t>CK, 1011</t>
  </si>
  <si>
    <t>VC, 4632</t>
  </si>
  <si>
    <t>VA, 3279</t>
  </si>
  <si>
    <t>VL, 2038</t>
  </si>
  <si>
    <t>VM, 1622</t>
  </si>
  <si>
    <t>VB, 1526</t>
  </si>
  <si>
    <t>3 / 3</t>
  </si>
  <si>
    <t>9 / 12</t>
  </si>
  <si>
    <t>2 / 2</t>
  </si>
  <si>
    <t>4 / 4</t>
  </si>
  <si>
    <t>0 / 1</t>
  </si>
  <si>
    <t>12941 / 15750</t>
  </si>
  <si>
    <t>832 / 852</t>
  </si>
  <si>
    <t>3001 / 3819</t>
  </si>
  <si>
    <t>8957 / 10147</t>
  </si>
  <si>
    <t>892 / 1081</t>
  </si>
  <si>
    <t>3482 / 4106</t>
  </si>
  <si>
    <t>12587 / 17107</t>
  </si>
  <si>
    <t>877 / 1051</t>
  </si>
  <si>
    <t>3492 / 4700</t>
  </si>
  <si>
    <t>S</t>
  </si>
  <si>
    <t>202439</t>
  </si>
  <si>
    <t>FC, 1596</t>
  </si>
  <si>
    <t>FA, 1266</t>
  </si>
  <si>
    <t>AZ, 1199</t>
  </si>
  <si>
    <t>AG, 948,0</t>
  </si>
  <si>
    <t>BA, 824</t>
  </si>
  <si>
    <t>JA, 1356</t>
  </si>
  <si>
    <t>JM, 1240</t>
  </si>
  <si>
    <t>JI, 1217</t>
  </si>
  <si>
    <t>JL, 1061</t>
  </si>
  <si>
    <t>JH, 921</t>
  </si>
  <si>
    <t>HC, 237</t>
  </si>
  <si>
    <t>HD, 234</t>
  </si>
  <si>
    <t>HE, 117</t>
  </si>
  <si>
    <t>HB, 45</t>
  </si>
  <si>
    <t>HC, 15</t>
  </si>
  <si>
    <t>JB, 1035</t>
  </si>
  <si>
    <t>JJ, 546</t>
  </si>
  <si>
    <t>JC, 422</t>
  </si>
  <si>
    <t>JK, 362</t>
  </si>
  <si>
    <t>JH, 301</t>
  </si>
  <si>
    <t>CL, 9588</t>
  </si>
  <si>
    <t>CP, 9107</t>
  </si>
  <si>
    <t>CN, 8033</t>
  </si>
  <si>
    <t>CJ, 7296</t>
  </si>
  <si>
    <t>MB, 7156</t>
  </si>
  <si>
    <t>HB, 1756</t>
  </si>
  <si>
    <t>HC, 1659</t>
  </si>
  <si>
    <t>HA, 1226</t>
  </si>
  <si>
    <t>HD, 45</t>
  </si>
  <si>
    <t>CB, 2272</t>
  </si>
  <si>
    <t>CM, 744</t>
  </si>
  <si>
    <t>CJ, 699</t>
  </si>
  <si>
    <t>CF, 641</t>
  </si>
  <si>
    <t>CA, 632</t>
  </si>
  <si>
    <t>FA, 1041</t>
  </si>
  <si>
    <t>VH, 872</t>
  </si>
  <si>
    <t>MB, 334</t>
  </si>
  <si>
    <t>VN, 322</t>
  </si>
  <si>
    <t>MA, 311</t>
  </si>
  <si>
    <t>VC, 2078</t>
  </si>
  <si>
    <t>VB, 1643</t>
  </si>
  <si>
    <t>VA, 1590</t>
  </si>
  <si>
    <t>VL, 1086</t>
  </si>
  <si>
    <t>VI, 940</t>
  </si>
  <si>
    <t>HC, 432</t>
  </si>
  <si>
    <t>HB, 365</t>
  </si>
  <si>
    <t>HD, 304</t>
  </si>
  <si>
    <t>HA, 128</t>
  </si>
  <si>
    <t>Slotting % - &gt; 80 &lt; 120%</t>
  </si>
  <si>
    <t>Check nieuwe data...</t>
  </si>
  <si>
    <t>202440</t>
  </si>
  <si>
    <t>KPI tabel ververst</t>
  </si>
  <si>
    <t>laatste: 10-10-2024</t>
  </si>
  <si>
    <t>FC, 2646</t>
  </si>
  <si>
    <t>FB, 2115</t>
  </si>
  <si>
    <t>BE, 1742</t>
  </si>
  <si>
    <t>AU, 1513</t>
  </si>
  <si>
    <t>AZ, 1501</t>
  </si>
  <si>
    <t>HE, 1000</t>
  </si>
  <si>
    <t>HB, 831</t>
  </si>
  <si>
    <t>HC, 779</t>
  </si>
  <si>
    <t>HD, 483</t>
  </si>
  <si>
    <t>JC, 2246</t>
  </si>
  <si>
    <t>JO, 2170</t>
  </si>
  <si>
    <t>JP, 2109</t>
  </si>
  <si>
    <t>JA, 2025</t>
  </si>
  <si>
    <t>JM, 2014</t>
  </si>
  <si>
    <t>BA, 45</t>
  </si>
  <si>
    <t>HD, 37</t>
  </si>
  <si>
    <t>HC, 30</t>
  </si>
  <si>
    <t>CP, 20872</t>
  </si>
  <si>
    <t>CL, 17084</t>
  </si>
  <si>
    <t>EF, 15922</t>
  </si>
  <si>
    <t>CM, 14716</t>
  </si>
  <si>
    <t>CI, 14120</t>
  </si>
  <si>
    <t>JB, 1754</t>
  </si>
  <si>
    <t>JJ, 1209</t>
  </si>
  <si>
    <t>JC, 1087</t>
  </si>
  <si>
    <t>JK, 1013</t>
  </si>
  <si>
    <t>JF, 514</t>
  </si>
  <si>
    <t>HC, 5690</t>
  </si>
  <si>
    <t>HB, 3665</t>
  </si>
  <si>
    <t>HA, 3209</t>
  </si>
  <si>
    <t>HD, 238</t>
  </si>
  <si>
    <t>CB, 8</t>
  </si>
  <si>
    <t>CM, 2402</t>
  </si>
  <si>
    <t>CB, 2240</t>
  </si>
  <si>
    <t>CJ, 1649</t>
  </si>
  <si>
    <t>CG, 1459</t>
  </si>
  <si>
    <t>CF, 1455</t>
  </si>
  <si>
    <t>VC, 4949</t>
  </si>
  <si>
    <t>VA, 3475</t>
  </si>
  <si>
    <t>VL, 2054</t>
  </si>
  <si>
    <t>VB, 1971</t>
  </si>
  <si>
    <t>VM, 1695</t>
  </si>
  <si>
    <t>HD, 1882</t>
  </si>
  <si>
    <t>HC, 1051</t>
  </si>
  <si>
    <t>HB, 1019</t>
  </si>
  <si>
    <t>HA, 870</t>
  </si>
  <si>
    <t>FA, 4269</t>
  </si>
  <si>
    <t>VN, 2538</t>
  </si>
  <si>
    <t>VH, 1082</t>
  </si>
  <si>
    <t>MB, 347</t>
  </si>
  <si>
    <t>MA, 312</t>
  </si>
  <si>
    <t>Nieuwe data: Onwaar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</si>
</sst>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8"/>
      <color theme="1"/>
      <name val="Jumbo TheSans Black"/>
      <family val="2"/>
    </font>
    <font>
      <i/>
      <sz val="12"/>
      <color theme="1" tint="0.499984740745262"/>
      <name val="Calibri"/>
      <family val="2"/>
      <scheme val="minor"/>
    </font>
    <font>
      <i/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72"/>
      <family val="2"/>
    </font>
    <font>
      <sz val="8"/>
      <color theme="1"/>
      <name val="72 Monospace"/>
      <family val="3"/>
    </font>
    <font>
      <i/>
      <sz val="7"/>
      <color theme="1" tint="0.249977111117893"/>
      <name val="72 Monospace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1" xfId="0" applyBorder="1"/>
    <xf numFmtId="0" fontId="4" fillId="2" borderId="0" xfId="0" applyFont="1" applyFill="1"/>
    <xf numFmtId="0" fontId="6" fillId="2" borderId="0" xfId="1" applyFill="1" applyAlignment="1"/>
    <xf numFmtId="14" fontId="4" fillId="2" borderId="0" xfId="0" applyNumberFormat="1" applyFont="1" applyFill="1"/>
    <xf numFmtId="0" fontId="4" fillId="2" borderId="0" xfId="0" applyFont="1" applyFill="1" applyAlignment="1">
      <alignment horizontal="center"/>
    </xf>
    <xf numFmtId="0" fontId="5" fillId="3" borderId="0" xfId="0" applyFont="1" applyFill="1"/>
    <xf numFmtId="0" fontId="0" fillId="0" borderId="12" xfId="0" applyBorder="1"/>
    <xf numFmtId="0" fontId="0" fillId="0" borderId="13" xfId="0" applyBorder="1"/>
    <xf numFmtId="0" fontId="0" fillId="2" borderId="0" xfId="0" applyFill="1"/>
    <xf numFmtId="0" fontId="4" fillId="2" borderId="0" xfId="0" applyFont="1" applyFill="1" applyAlignment="1">
      <alignment horizontal="right"/>
    </xf>
    <xf numFmtId="0" fontId="8" fillId="2" borderId="0" xfId="0" applyFont="1" applyFill="1" applyAlignment="1">
      <alignment horizontal="left"/>
    </xf>
    <xf numFmtId="0" fontId="2" fillId="0" borderId="1" xfId="0" applyFont="1" applyBorder="1" applyAlignment="1">
      <alignment horizontal="right" vertical="center"/>
    </xf>
    <xf numFmtId="0" fontId="3" fillId="0" borderId="1" xfId="0" applyFont="1" applyBorder="1" applyAlignment="1">
      <alignment horizontal="left" vertical="center"/>
    </xf>
    <xf numFmtId="0" fontId="9" fillId="2" borderId="0" xfId="0" applyFont="1" applyFill="1" applyAlignment="1">
      <alignment horizontal="left"/>
    </xf>
    <xf numFmtId="0" fontId="7" fillId="0" borderId="11" xfId="0" applyFont="1" applyBorder="1" applyProtection="1">
      <protection locked="0"/>
    </xf>
    <xf numFmtId="0" fontId="0" fillId="0" borderId="8" xfId="0" applyBorder="1"/>
    <xf numFmtId="0" fontId="2" fillId="0" borderId="8" xfId="0" applyFont="1" applyBorder="1" applyAlignment="1">
      <alignment horizontal="right" vertical="center"/>
    </xf>
    <xf numFmtId="0" fontId="3" fillId="0" borderId="8" xfId="0" applyFont="1" applyBorder="1" applyAlignment="1">
      <alignment horizontal="left" vertical="center"/>
    </xf>
    <xf numFmtId="0" fontId="1" fillId="0" borderId="8" xfId="0" applyFont="1" applyBorder="1" applyAlignment="1">
      <alignment horizontal="center"/>
    </xf>
    <xf numFmtId="0" fontId="0" fillId="0" borderId="5" xfId="0" applyBorder="1" applyAlignment="1">
      <alignment wrapText="1"/>
    </xf>
    <xf numFmtId="0" fontId="0" fillId="0" borderId="0" xfId="0" applyAlignment="1">
      <alignment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Alignment="1">
      <alignment horizontal="center"/>
    </xf>
    <xf numFmtId="0" fontId="0" fillId="0" borderId="10" xfId="0" applyFill="1" applyBorder="1" applyProtection="1">
      <protection locked="0"/>
    </xf>
  </cellXfs>
  <cellStyles count="2">
    <cellStyle name="Hyperlink" xfId="1" builtinId="8"/>
    <cellStyle name="Standaard" xfId="0" builtinId="0"/>
  </cellStyles>
  <dxfs count="4">
    <dxf>
      <fill>
        <patternFill patternType="solid">
          <bgColor theme="0"/>
        </patternFill>
      </fill>
      <border>
        <left style="thin">
          <color theme="0" tint="-4.9989318521683403E-2"/>
        </left>
        <right style="thin">
          <color theme="0"/>
        </right>
        <vertical/>
      </border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7"/>
        </patternFill>
      </fill>
      <border>
        <bottom style="medium">
          <color auto="1"/>
        </bottom>
      </border>
    </dxf>
  </dxfs>
  <tableStyles count="2" defaultTableStyle="TableStyleMedium2" defaultPivotStyle="PivotStyleLight16">
    <tableStyle name="Huisstijl" pivot="0" count="4" xr9:uid="{00000000-0011-0000-FFFF-FFFF00000000}">
      <tableStyleElement type="headerRow" dxfId="3"/>
      <tableStyleElement type="lastColumn" dxfId="2"/>
      <tableStyleElement type="secondRowStripe" dxfId="1"/>
      <tableStyleElement type="secondColumnStripe" dxfId="0"/>
    </tableStyle>
    <tableStyle name="Invisible" pivot="0" table="0" count="0" xr9:uid="{00000000-0011-0000-FFFF-FFFF01000000}"/>
  </tableStyles>
  <colors>
    <mruColors>
      <color rgb="FFFFFFFF"/>
      <color rgb="FFF7F5F3"/>
      <color rgb="FFFFFEF7"/>
      <color rgb="FFFFFDEF"/>
      <color rgb="FFFFFBE5"/>
      <color rgb="FFF5F5F5"/>
      <color rgb="FFFFF9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teams.microsoft.com/l/entity/1c4340de-2a85-40e5-8eb0-4f295368978b/_djb2_msteams_prefix_1158879339?context=%7B%22channelId%22%3A%2219%3A0ad9eb8030ff40c496e4d4d3a554b4ca%40thread.tacv2%22%7D&amp;tenantId=862dec83-e43a-4c95-aed3-8e98e6038d5f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teams.microsoft.com/l/entity/1c4340de-2a85-40e5-8eb0-4f295368978b/_djb2_msteams_prefix_1158879339?context=%7B%22channelId%22%3A%2219%3A0ad9eb8030ff40c496e4d4d3a554b4ca%40thread.tacv2%22%7D&amp;tenantId=862dec83-e43a-4c95-aed3-8e98e6038d5f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301067</xdr:colOff>
      <xdr:row>1</xdr:row>
      <xdr:rowOff>72451</xdr:rowOff>
    </xdr:from>
    <xdr:ext cx="1071766" cy="216000"/>
    <xdr:pic>
      <xdr:nvPicPr>
        <xdr:cNvPr id="2" name="Afbeelding 1">
          <a:extLst>
            <a:ext uri="{FF2B5EF4-FFF2-40B4-BE49-F238E27FC236}">
              <a16:creationId xmlns:a16="http://schemas.microsoft.com/office/drawing/2014/main" id="{491554F7-8247-4569-A608-F189A807C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67" y="262951"/>
          <a:ext cx="1071766" cy="216000"/>
        </a:xfrm>
        <a:prstGeom prst="rect">
          <a:avLst/>
        </a:prstGeom>
      </xdr:spPr>
    </xdr:pic>
    <xdr:clientData/>
  </xdr:oneCellAnchor>
  <xdr:twoCellAnchor editAs="oneCell">
    <xdr:from>
      <xdr:col>14</xdr:col>
      <xdr:colOff>215899</xdr:colOff>
      <xdr:row>0</xdr:row>
      <xdr:rowOff>182562</xdr:rowOff>
    </xdr:from>
    <xdr:to>
      <xdr:col>15</xdr:col>
      <xdr:colOff>9524</xdr:colOff>
      <xdr:row>2</xdr:row>
      <xdr:rowOff>31750</xdr:rowOff>
    </xdr:to>
    <xdr:pic>
      <xdr:nvPicPr>
        <xdr:cNvPr id="4" name="Graphic 3" descr="Staafdiagram silhoue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AB3C11B-7C97-E774-F9A9-3AC4E8E1B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18024" y="182562"/>
          <a:ext cx="357188" cy="3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301067</xdr:colOff>
      <xdr:row>1</xdr:row>
      <xdr:rowOff>72451</xdr:rowOff>
    </xdr:from>
    <xdr:ext cx="1071766" cy="216000"/>
    <xdr:pic>
      <xdr:nvPicPr>
        <xdr:cNvPr id="4" name="Afbeelding 3">
          <a:extLst>
            <a:ext uri="{FF2B5EF4-FFF2-40B4-BE49-F238E27FC236}">
              <a16:creationId xmlns:a16="http://schemas.microsoft.com/office/drawing/2014/main" id="{62C005AF-8BAC-4F93-8F6F-47C279C8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67" y="262951"/>
          <a:ext cx="1071766" cy="216000"/>
        </a:xfrm>
        <a:prstGeom prst="rect">
          <a:avLst/>
        </a:prstGeom>
      </xdr:spPr>
    </xdr:pic>
    <xdr:clientData/>
  </xdr:oneCellAnchor>
  <xdr:twoCellAnchor>
    <xdr:from>
      <xdr:col>2</xdr:col>
      <xdr:colOff>315058</xdr:colOff>
      <xdr:row>4</xdr:row>
      <xdr:rowOff>14654</xdr:rowOff>
    </xdr:from>
    <xdr:to>
      <xdr:col>6</xdr:col>
      <xdr:colOff>308132</xdr:colOff>
      <xdr:row>6</xdr:row>
      <xdr:rowOff>5129</xdr:rowOff>
    </xdr:to>
    <xdr:sp macro="[0]!rfrsh_tbl_kpi" textlink="">
      <xdr:nvSpPr>
        <xdr:cNvPr id="5" name="Stroomdiagram: Alternatief proces 4">
          <a:extLst>
            <a:ext uri="{FF2B5EF4-FFF2-40B4-BE49-F238E27FC236}">
              <a16:creationId xmlns:a16="http://schemas.microsoft.com/office/drawing/2014/main" id="{B3BDC7E8-EE37-42E8-8644-8B542CBFDF16}"/>
            </a:ext>
          </a:extLst>
        </xdr:cNvPr>
        <xdr:cNvSpPr/>
      </xdr:nvSpPr>
      <xdr:spPr>
        <a:xfrm>
          <a:off x="7004539" y="996462"/>
          <a:ext cx="2425612" cy="371475"/>
        </a:xfrm>
        <a:prstGeom prst="flowChartAlternateProcess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400" b="1">
              <a:solidFill>
                <a:sysClr val="windowText" lastClr="000000"/>
              </a:solidFill>
              <a:latin typeface="Jumbo TheSans" panose="020B0500040303060204" pitchFamily="34" charset="0"/>
            </a:rPr>
            <a:t>Export KPI</a:t>
          </a:r>
        </a:p>
      </xdr:txBody>
    </xdr:sp>
    <xdr:clientData/>
  </xdr:twoCellAnchor>
  <xdr:twoCellAnchor editAs="oneCell">
    <xdr:from>
      <xdr:col>7</xdr:col>
      <xdr:colOff>214312</xdr:colOff>
      <xdr:row>0</xdr:row>
      <xdr:rowOff>182562</xdr:rowOff>
    </xdr:from>
    <xdr:to>
      <xdr:col>8</xdr:col>
      <xdr:colOff>7937</xdr:colOff>
      <xdr:row>2</xdr:row>
      <xdr:rowOff>31750</xdr:rowOff>
    </xdr:to>
    <xdr:pic>
      <xdr:nvPicPr>
        <xdr:cNvPr id="3" name="Graphic 2" descr="Staafdiagram silhoue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5175115-6904-4C51-83B2-340BCDB72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16437" y="182562"/>
          <a:ext cx="357188" cy="35718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5" xr16:uid="{00000000-0016-0000-03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UP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4" xr16:uid="{00000000-0016-0000-0400-000001000000}" autoFormatId="16" applyNumberFormats="0" applyBorderFormats="0" applyFontFormats="0" applyPatternFormats="0" applyAlignmentFormats="0" applyWidthHeightFormats="0">
  <queryTableRefresh nextId="6">
    <queryTableFields count="5">
      <queryTableField id="1" name="YW" tableColumnId="1"/>
      <queryTableField id="2" name="EFC" tableColumnId="2"/>
      <queryTableField id="3" name="ZONE" tableColumnId="3"/>
      <queryTableField id="4" name="CAT" tableColumnId="4"/>
      <queryTableField id="5" name="VAL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UPDATE_1" displayName="UPDATE_1" ref="A1:A2" tableType="queryTable" totalsRowShown="0">
  <autoFilter ref="A1:A2" xr:uid="{00000000-0009-0000-0100-000002000000}"/>
  <tableColumns count="1">
    <tableColumn id="1" xr3:uid="{00000000-0010-0000-0000-000001000000}" uniqueName="1" name="UPDATE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EXPORT" displayName="EXPORT" ref="A1:E2659" tableType="queryTable" totalsRowShown="0">
  <autoFilter ref="A1:E2659" xr:uid="{00000000-0009-0000-0100-000001000000}"/>
  <sortState xmlns:xlrd2="http://schemas.microsoft.com/office/spreadsheetml/2017/richdata2" ref="A2:E2659">
    <sortCondition ref="A1:A2659"/>
  </sortState>
  <tableColumns count="5">
    <tableColumn id="1" xr3:uid="{00000000-0010-0000-0100-000001000000}" uniqueName="1" name="YW" queryTableFieldId="1"/>
    <tableColumn id="2" xr3:uid="{00000000-0010-0000-0100-000002000000}" uniqueName="2" name="EFC" queryTableFieldId="2"/>
    <tableColumn id="3" xr3:uid="{00000000-0010-0000-0100-000003000000}" uniqueName="3" name="ZONE" queryTableFieldId="3"/>
    <tableColumn id="4" xr3:uid="{00000000-0010-0000-0100-000004000000}" uniqueName="4" name="CAT" queryTableFieldId="4"/>
    <tableColumn id="5" xr3:uid="{00000000-0010-0000-0100-000005000000}" uniqueName="5" name="VAL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ils.kuppen@jumbo.com?subject=Central%20Slotting%20Too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nils.kuppen@jumbo.com?subject=Central%20Slotting%20Too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3">
    <tabColor theme="1"/>
  </sheetPr>
  <dimension ref="A1:X25"/>
  <sheetViews>
    <sheetView showGridLines="0" showRowColHeaders="0" zoomScale="120" zoomScaleNormal="120" workbookViewId="0">
      <selection activeCell="N18" sqref="N18"/>
    </sheetView>
  </sheetViews>
  <sheetFormatPr defaultColWidth="0" defaultRowHeight="15" zeroHeight="1" x14ac:dyDescent="0.25"/>
  <cols>
    <col min="1" max="3" width="9.140625" customWidth="1"/>
    <col min="4" max="13" width="2.85546875" customWidth="1"/>
    <col min="14" max="15" width="8.42578125" customWidth="1"/>
    <col min="16" max="16" width="9.140625" customWidth="1"/>
    <col min="17" max="24" width="0" hidden="1" customWidth="1"/>
    <col min="25" max="16384" width="9.140625" hidden="1"/>
  </cols>
  <sheetData>
    <row r="1" spans="1:16" x14ac:dyDescent="0.25">
      <c r="A1" s="14" t="str">
        <f>PATH</f>
        <v>O:\Map A-F\Central Online MVO\1_Tool &amp; Dashboard\KPI MVO</v>
      </c>
      <c r="B1" s="14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10"/>
      <c r="O1" s="10" t="str">
        <f>START!H1</f>
        <v>TEST</v>
      </c>
      <c r="P1" s="11">
        <f>version</f>
        <v>1</v>
      </c>
    </row>
    <row r="2" spans="1:16" ht="24.95" customHeight="1" x14ac:dyDescent="0.35">
      <c r="A2" s="16"/>
      <c r="B2" s="16"/>
      <c r="C2" s="19" t="s">
        <v>10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7"/>
      <c r="P2" s="18"/>
    </row>
    <row r="3" spans="1:16" x14ac:dyDescent="0.25"/>
    <row r="4" spans="1:16" x14ac:dyDescent="0.25"/>
    <row r="5" spans="1:16" x14ac:dyDescent="0.25"/>
    <row r="6" spans="1:16" x14ac:dyDescent="0.25"/>
    <row r="7" spans="1:16" x14ac:dyDescent="0.25"/>
    <row r="8" spans="1:16" x14ac:dyDescent="0.25"/>
    <row r="9" spans="1:16" x14ac:dyDescent="0.25"/>
    <row r="10" spans="1:16" x14ac:dyDescent="0.25">
      <c r="D10" s="15"/>
      <c r="E10" s="7"/>
      <c r="F10" s="7"/>
      <c r="G10" s="7"/>
      <c r="H10" s="7"/>
      <c r="I10" s="7"/>
      <c r="J10" s="7"/>
      <c r="K10" s="7"/>
      <c r="L10" s="7"/>
      <c r="M10" s="8"/>
    </row>
    <row r="11" spans="1:16" x14ac:dyDescent="0.25"/>
    <row r="12" spans="1:16" x14ac:dyDescent="0.25">
      <c r="D12" s="30"/>
      <c r="E12" s="30"/>
      <c r="F12" s="30"/>
      <c r="G12" s="30"/>
      <c r="H12" s="30"/>
      <c r="I12" s="30"/>
      <c r="J12" s="30"/>
      <c r="K12" s="30"/>
      <c r="L12" s="30"/>
      <c r="M12" s="30"/>
    </row>
    <row r="13" spans="1:16" x14ac:dyDescent="0.25"/>
    <row r="14" spans="1:16" x14ac:dyDescent="0.25"/>
    <row r="15" spans="1:16" x14ac:dyDescent="0.25"/>
    <row r="16" spans="1:16" x14ac:dyDescent="0.25"/>
    <row r="17" spans="1:16" x14ac:dyDescent="0.25"/>
    <row r="18" spans="1:16" x14ac:dyDescent="0.25"/>
    <row r="19" spans="1:16" x14ac:dyDescent="0.25"/>
    <row r="20" spans="1:16" x14ac:dyDescent="0.25"/>
    <row r="21" spans="1:16" x14ac:dyDescent="0.25"/>
    <row r="22" spans="1:16" x14ac:dyDescent="0.25"/>
    <row r="23" spans="1:16" x14ac:dyDescent="0.25"/>
    <row r="24" spans="1:16" ht="11.25" customHeight="1" x14ac:dyDescent="0.25">
      <c r="A24" s="3" t="str">
        <f>"@e-mail"</f>
        <v>@e-mail</v>
      </c>
      <c r="B24" s="3"/>
      <c r="C24" s="2"/>
      <c r="D24" s="2"/>
      <c r="E24" s="2"/>
      <c r="F24" s="2"/>
      <c r="G24" s="2"/>
      <c r="H24" s="9"/>
      <c r="I24" s="9"/>
      <c r="J24" s="9"/>
      <c r="K24" s="9"/>
      <c r="L24" s="9"/>
      <c r="M24" s="9"/>
      <c r="N24" s="4"/>
      <c r="O24" s="4">
        <f ca="1">TODAY()</f>
        <v>45575</v>
      </c>
      <c r="P24" s="5" t="str">
        <f ca="1">"week "&amp;_xlfn.ISOWEEKNUM(TODAY())</f>
        <v>week 41</v>
      </c>
    </row>
    <row r="25" spans="1:16" hidden="1" x14ac:dyDescent="0.25">
      <c r="A25" s="6" t="s">
        <v>0</v>
      </c>
      <c r="B25" s="6"/>
      <c r="C25" s="6"/>
      <c r="D25" s="6"/>
      <c r="E25" s="6"/>
      <c r="F25" s="6"/>
      <c r="G25" s="6"/>
      <c r="H25" s="6"/>
      <c r="I25" s="6"/>
      <c r="J25" s="6"/>
    </row>
  </sheetData>
  <dataConsolidate/>
  <mergeCells count="1">
    <mergeCell ref="C2:N2"/>
  </mergeCells>
  <hyperlinks>
    <hyperlink ref="A24" r:id="rId1" display="mailto:nils.kuppen@jumbo.com?subject=Central%20Slotting%20Tool" xr:uid="{00000000-0004-0000-0000-000000000000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/>
  <dimension ref="A1:B1"/>
  <sheetViews>
    <sheetView workbookViewId="0">
      <selection activeCell="K10" sqref="K10"/>
    </sheetView>
  </sheetViews>
  <sheetFormatPr defaultRowHeight="15" x14ac:dyDescent="0.25"/>
  <sheetData>
    <row r="1" spans="1:2" x14ac:dyDescent="0.25">
      <c r="A1" t="s">
        <v>2</v>
      </c>
      <c r="B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>
    <tabColor rgb="FF00B050"/>
  </sheetPr>
  <dimension ref="A1:K1048576"/>
  <sheetViews>
    <sheetView showGridLines="0" showRowColHeaders="0" tabSelected="1" zoomScale="120" zoomScaleNormal="120" workbookViewId="0">
      <selection activeCell="H6" sqref="H6"/>
    </sheetView>
  </sheetViews>
  <sheetFormatPr defaultColWidth="0" defaultRowHeight="15" zeroHeight="1" x14ac:dyDescent="0.25"/>
  <cols>
    <col min="1" max="2" width="9.140625" customWidth="1"/>
    <col min="3" max="3" width="9.5703125" customWidth="1"/>
    <col min="4" max="7" width="9.140625" customWidth="1"/>
    <col min="8" max="8" width="8.42578125" customWidth="1"/>
    <col min="9" max="9" width="9.140625" customWidth="1"/>
    <col min="10" max="16384" width="9.140625" hidden="1"/>
  </cols>
  <sheetData>
    <row r="1" spans="1:11" x14ac:dyDescent="0.25">
      <c r="A1" s="14" t="s">
        <v>9</v>
      </c>
      <c r="B1" s="2"/>
      <c r="C1" s="2"/>
      <c r="D1" s="2"/>
      <c r="E1" s="2"/>
      <c r="F1" s="2"/>
      <c r="G1" s="2"/>
      <c r="H1" s="10" t="s">
        <v>11</v>
      </c>
      <c r="I1" s="11">
        <v>1</v>
      </c>
      <c r="J1" s="2"/>
      <c r="K1" s="2"/>
    </row>
    <row r="2" spans="1:11" ht="24.95" customHeight="1" x14ac:dyDescent="0.35">
      <c r="A2" s="1"/>
      <c r="B2" s="1"/>
      <c r="C2" s="19" t="s">
        <v>10</v>
      </c>
      <c r="D2" s="19"/>
      <c r="E2" s="19"/>
      <c r="F2" s="19"/>
      <c r="G2" s="19"/>
      <c r="H2" s="12"/>
      <c r="I2" s="13"/>
    </row>
    <row r="3" spans="1:11" x14ac:dyDescent="0.25"/>
    <row r="4" spans="1:11" x14ac:dyDescent="0.25"/>
    <row r="5" spans="1:11" x14ac:dyDescent="0.25"/>
    <row r="6" spans="1:11" x14ac:dyDescent="0.25"/>
    <row r="7" spans="1:11" x14ac:dyDescent="0.25">
      <c r="C7" s="29" t="s">
        <v>625</v>
      </c>
      <c r="D7" s="29"/>
      <c r="E7" s="29"/>
      <c r="F7" s="29"/>
      <c r="G7" s="29"/>
    </row>
    <row r="8" spans="1:11" x14ac:dyDescent="0.25"/>
    <row r="9" spans="1:11" ht="15" customHeight="1" x14ac:dyDescent="0.25">
      <c r="D9" s="26" t="s">
        <v>622</v>
      </c>
      <c r="E9" s="27"/>
      <c r="F9" s="28"/>
    </row>
    <row r="10" spans="1:11" ht="15" customHeight="1" x14ac:dyDescent="0.25">
      <c r="D10" s="20" t="s">
        <v>677</v>
      </c>
      <c r="E10" s="21"/>
      <c r="F10" s="22"/>
    </row>
    <row r="11" spans="1:11" x14ac:dyDescent="0.25">
      <c r="D11" s="20" t="s">
        <v>624</v>
      </c>
      <c r="E11" s="21"/>
      <c r="F11" s="22"/>
    </row>
    <row r="12" spans="1:11" x14ac:dyDescent="0.25">
      <c r="D12" s="20"/>
      <c r="E12" s="21"/>
      <c r="F12" s="22"/>
    </row>
    <row r="13" spans="1:11" x14ac:dyDescent="0.25">
      <c r="D13" s="20"/>
      <c r="E13" s="21"/>
      <c r="F13" s="22"/>
    </row>
    <row r="14" spans="1:11" x14ac:dyDescent="0.25">
      <c r="D14" s="20"/>
      <c r="E14" s="21"/>
      <c r="F14" s="22"/>
    </row>
    <row r="15" spans="1:11" x14ac:dyDescent="0.25">
      <c r="D15" s="20"/>
      <c r="E15" s="21"/>
      <c r="F15" s="22"/>
    </row>
    <row r="16" spans="1:11" x14ac:dyDescent="0.25">
      <c r="D16" s="20"/>
      <c r="E16" s="21"/>
      <c r="F16" s="22"/>
    </row>
    <row r="17" spans="1:9" x14ac:dyDescent="0.25">
      <c r="D17" s="20"/>
      <c r="E17" s="21"/>
      <c r="F17" s="22"/>
    </row>
    <row r="18" spans="1:9" x14ac:dyDescent="0.25">
      <c r="D18" s="20"/>
      <c r="E18" s="21"/>
      <c r="F18" s="22"/>
    </row>
    <row r="19" spans="1:9" x14ac:dyDescent="0.25">
      <c r="D19" s="20"/>
      <c r="E19" s="21"/>
      <c r="F19" s="22"/>
    </row>
    <row r="20" spans="1:9" x14ac:dyDescent="0.25">
      <c r="D20" s="20"/>
      <c r="E20" s="21"/>
      <c r="F20" s="22"/>
    </row>
    <row r="21" spans="1:9" x14ac:dyDescent="0.25">
      <c r="D21" s="23"/>
      <c r="E21" s="24"/>
      <c r="F21" s="25"/>
    </row>
    <row r="22" spans="1:9" x14ac:dyDescent="0.25"/>
    <row r="23" spans="1:9" x14ac:dyDescent="0.25"/>
    <row r="24" spans="1:9" ht="11.25" customHeight="1" x14ac:dyDescent="0.25">
      <c r="A24" s="3" t="str">
        <f>"@e-mail"</f>
        <v>@e-mail</v>
      </c>
      <c r="B24" s="2"/>
      <c r="C24" s="2"/>
      <c r="D24" s="2"/>
      <c r="E24" s="2"/>
      <c r="F24" s="9"/>
      <c r="G24" s="9"/>
      <c r="H24" s="4">
        <f ca="1">TODAY()</f>
        <v>45575</v>
      </c>
      <c r="I24" s="5" t="str">
        <f ca="1">"week "&amp;_xlfn.ISOWEEKNUM(TODAY())</f>
        <v>week 41</v>
      </c>
    </row>
    <row r="25" spans="1:9" hidden="1" x14ac:dyDescent="0.25">
      <c r="A25" s="6" t="s">
        <v>0</v>
      </c>
      <c r="B25" s="6"/>
      <c r="C25" s="6"/>
      <c r="D25" s="6"/>
      <c r="E25" s="6"/>
      <c r="F25" s="6"/>
      <c r="G25" s="6"/>
    </row>
    <row r="1048576" hidden="1" collapsed="1" x14ac:dyDescent="0.25"/>
  </sheetData>
  <mergeCells count="15">
    <mergeCell ref="D19:F19"/>
    <mergeCell ref="D20:F20"/>
    <mergeCell ref="D21:F21"/>
    <mergeCell ref="C2:G2"/>
    <mergeCell ref="D14:F14"/>
    <mergeCell ref="D15:F15"/>
    <mergeCell ref="D16:F16"/>
    <mergeCell ref="D17:F17"/>
    <mergeCell ref="D18:F18"/>
    <mergeCell ref="D9:F9"/>
    <mergeCell ref="D10:F10"/>
    <mergeCell ref="D11:F11"/>
    <mergeCell ref="D12:F12"/>
    <mergeCell ref="D13:F13"/>
    <mergeCell ref="C7:G7"/>
  </mergeCells>
  <hyperlinks>
    <hyperlink ref="A24" r:id="rId1" display="mailto:nils.kuppen@jumbo.com?subject=Central%20Slotting%20Tool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">
    <tabColor rgb="FFC00000"/>
  </sheetPr>
  <dimension ref="A1:A2"/>
  <sheetViews>
    <sheetView workbookViewId="0">
      <selection activeCell="A2" sqref="A2"/>
    </sheetView>
  </sheetViews>
  <sheetFormatPr defaultRowHeight="15" x14ac:dyDescent="0.25"/>
  <cols>
    <col min="1" max="1" width="10.42578125" bestFit="1" customWidth="1"/>
  </cols>
  <sheetData>
    <row r="1" spans="1:1" x14ac:dyDescent="0.25">
      <c r="A1" t="s">
        <v>2</v>
      </c>
    </row>
    <row r="2" spans="1:1" x14ac:dyDescent="0.25">
      <c r="A2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2">
    <tabColor theme="7"/>
  </sheetPr>
  <dimension ref="A1:E2659"/>
  <sheetViews>
    <sheetView topLeftCell="A2258" workbookViewId="0">
      <selection activeCell="J2524" sqref="J2524"/>
    </sheetView>
  </sheetViews>
  <sheetFormatPr defaultRowHeight="15" x14ac:dyDescent="0.25"/>
  <cols>
    <col min="1" max="1" width="7" bestFit="1" customWidth="1"/>
    <col min="2" max="2" width="6.42578125" bestFit="1" customWidth="1"/>
    <col min="3" max="3" width="8.140625" bestFit="1" customWidth="1"/>
    <col min="4" max="4" width="21.7109375" bestFit="1" customWidth="1"/>
    <col min="5" max="5" width="22" bestFit="1" customWidth="1"/>
  </cols>
  <sheetData>
    <row r="1" spans="1:5" x14ac:dyDescent="0.25">
      <c r="A1" t="s">
        <v>12</v>
      </c>
      <c r="B1" t="s">
        <v>3</v>
      </c>
      <c r="C1" t="s">
        <v>1</v>
      </c>
      <c r="D1" t="s">
        <v>13</v>
      </c>
      <c r="E1" t="s">
        <v>14</v>
      </c>
    </row>
    <row r="2" spans="1:5" x14ac:dyDescent="0.25">
      <c r="A2" t="s">
        <v>15</v>
      </c>
      <c r="B2" t="s">
        <v>16</v>
      </c>
      <c r="C2" t="s">
        <v>4</v>
      </c>
      <c r="D2" t="s">
        <v>17</v>
      </c>
      <c r="E2">
        <v>353</v>
      </c>
    </row>
    <row r="3" spans="1:5" x14ac:dyDescent="0.25">
      <c r="A3" t="s">
        <v>15</v>
      </c>
      <c r="B3" t="s">
        <v>16</v>
      </c>
      <c r="C3" t="s">
        <v>18</v>
      </c>
      <c r="D3" t="s">
        <v>17</v>
      </c>
      <c r="E3">
        <v>0</v>
      </c>
    </row>
    <row r="4" spans="1:5" x14ac:dyDescent="0.25">
      <c r="A4" t="s">
        <v>15</v>
      </c>
      <c r="B4" t="s">
        <v>16</v>
      </c>
      <c r="C4" t="s">
        <v>5</v>
      </c>
      <c r="D4" t="s">
        <v>17</v>
      </c>
      <c r="E4">
        <v>0</v>
      </c>
    </row>
    <row r="5" spans="1:5" x14ac:dyDescent="0.25">
      <c r="A5" t="s">
        <v>15</v>
      </c>
      <c r="B5" t="s">
        <v>16</v>
      </c>
      <c r="C5" t="s">
        <v>19</v>
      </c>
      <c r="D5" t="s">
        <v>17</v>
      </c>
      <c r="E5">
        <v>353</v>
      </c>
    </row>
    <row r="6" spans="1:5" x14ac:dyDescent="0.25">
      <c r="A6" t="s">
        <v>15</v>
      </c>
      <c r="B6" t="s">
        <v>16</v>
      </c>
      <c r="C6" t="s">
        <v>4</v>
      </c>
      <c r="D6" t="s">
        <v>20</v>
      </c>
      <c r="E6">
        <v>13314</v>
      </c>
    </row>
    <row r="7" spans="1:5" x14ac:dyDescent="0.25">
      <c r="A7" t="s">
        <v>15</v>
      </c>
      <c r="B7" t="s">
        <v>16</v>
      </c>
      <c r="C7" t="s">
        <v>18</v>
      </c>
      <c r="D7" t="s">
        <v>20</v>
      </c>
      <c r="E7">
        <v>703</v>
      </c>
    </row>
    <row r="8" spans="1:5" x14ac:dyDescent="0.25">
      <c r="A8" t="s">
        <v>15</v>
      </c>
      <c r="B8" t="s">
        <v>16</v>
      </c>
      <c r="C8" t="s">
        <v>5</v>
      </c>
      <c r="D8" t="s">
        <v>20</v>
      </c>
      <c r="E8">
        <v>4957</v>
      </c>
    </row>
    <row r="9" spans="1:5" x14ac:dyDescent="0.25">
      <c r="A9" t="s">
        <v>15</v>
      </c>
      <c r="B9" t="s">
        <v>16</v>
      </c>
      <c r="C9" t="s">
        <v>19</v>
      </c>
      <c r="D9" t="s">
        <v>20</v>
      </c>
      <c r="E9">
        <v>18974</v>
      </c>
    </row>
    <row r="10" spans="1:5" x14ac:dyDescent="0.25">
      <c r="A10" t="s">
        <v>15</v>
      </c>
      <c r="B10" t="s">
        <v>16</v>
      </c>
      <c r="C10" t="s">
        <v>4</v>
      </c>
      <c r="D10" t="s">
        <v>21</v>
      </c>
      <c r="E10">
        <v>0.91923886355664675</v>
      </c>
    </row>
    <row r="11" spans="1:5" x14ac:dyDescent="0.25">
      <c r="A11" t="s">
        <v>15</v>
      </c>
      <c r="B11" t="s">
        <v>16</v>
      </c>
      <c r="C11" t="s">
        <v>18</v>
      </c>
      <c r="D11" t="s">
        <v>21</v>
      </c>
      <c r="E11">
        <v>0.16940581542351454</v>
      </c>
    </row>
    <row r="12" spans="1:5" x14ac:dyDescent="0.25">
      <c r="A12" t="s">
        <v>15</v>
      </c>
      <c r="B12" t="s">
        <v>16</v>
      </c>
      <c r="C12" t="s">
        <v>5</v>
      </c>
      <c r="D12" t="s">
        <v>21</v>
      </c>
      <c r="E12">
        <v>0.89150460593654046</v>
      </c>
    </row>
    <row r="13" spans="1:5" x14ac:dyDescent="0.25">
      <c r="A13" t="s">
        <v>15</v>
      </c>
      <c r="B13" t="s">
        <v>16</v>
      </c>
      <c r="C13" t="s">
        <v>19</v>
      </c>
      <c r="D13" t="s">
        <v>21</v>
      </c>
      <c r="E13">
        <v>1.9801492849167015</v>
      </c>
    </row>
    <row r="14" spans="1:5" x14ac:dyDescent="0.25">
      <c r="A14" t="s">
        <v>15</v>
      </c>
      <c r="B14" t="s">
        <v>16</v>
      </c>
      <c r="C14" t="s">
        <v>4</v>
      </c>
      <c r="D14" t="s">
        <v>22</v>
      </c>
      <c r="E14">
        <v>0.15164873919943572</v>
      </c>
    </row>
    <row r="15" spans="1:5" x14ac:dyDescent="0.25">
      <c r="A15" t="s">
        <v>15</v>
      </c>
      <c r="B15" t="s">
        <v>16</v>
      </c>
      <c r="C15" t="s">
        <v>18</v>
      </c>
      <c r="D15" t="s">
        <v>22</v>
      </c>
      <c r="E15">
        <v>0.21827411167512689</v>
      </c>
    </row>
    <row r="16" spans="1:5" x14ac:dyDescent="0.25">
      <c r="A16" t="s">
        <v>15</v>
      </c>
      <c r="B16" t="s">
        <v>16</v>
      </c>
      <c r="C16" t="s">
        <v>5</v>
      </c>
      <c r="D16" t="s">
        <v>22</v>
      </c>
      <c r="E16">
        <v>0.21070693205216201</v>
      </c>
    </row>
    <row r="17" spans="1:5" x14ac:dyDescent="0.25">
      <c r="A17" t="s">
        <v>15</v>
      </c>
      <c r="B17" t="s">
        <v>16</v>
      </c>
      <c r="C17" t="s">
        <v>19</v>
      </c>
      <c r="D17" t="s">
        <v>22</v>
      </c>
      <c r="E17">
        <v>0.58062978292672462</v>
      </c>
    </row>
    <row r="18" spans="1:5" x14ac:dyDescent="0.25">
      <c r="A18" t="s">
        <v>15</v>
      </c>
      <c r="B18" t="s">
        <v>16</v>
      </c>
      <c r="C18" t="s">
        <v>4</v>
      </c>
      <c r="D18" t="s">
        <v>23</v>
      </c>
      <c r="E18">
        <v>0.27120437312643275</v>
      </c>
    </row>
    <row r="19" spans="1:5" x14ac:dyDescent="0.25">
      <c r="A19" t="s">
        <v>15</v>
      </c>
      <c r="B19" t="s">
        <v>16</v>
      </c>
      <c r="C19" t="s">
        <v>18</v>
      </c>
      <c r="D19" t="s">
        <v>23</v>
      </c>
      <c r="E19">
        <v>0.33883248730964466</v>
      </c>
    </row>
    <row r="20" spans="1:5" x14ac:dyDescent="0.25">
      <c r="A20" t="s">
        <v>15</v>
      </c>
      <c r="B20" t="s">
        <v>16</v>
      </c>
      <c r="C20" t="s">
        <v>5</v>
      </c>
      <c r="D20" t="s">
        <v>23</v>
      </c>
      <c r="E20">
        <v>0.18977350720658889</v>
      </c>
    </row>
    <row r="21" spans="1:5" x14ac:dyDescent="0.25">
      <c r="A21" t="s">
        <v>15</v>
      </c>
      <c r="B21" t="s">
        <v>16</v>
      </c>
      <c r="C21" t="s">
        <v>19</v>
      </c>
      <c r="D21" t="s">
        <v>23</v>
      </c>
      <c r="E21">
        <v>0.79981036764266644</v>
      </c>
    </row>
    <row r="22" spans="1:5" x14ac:dyDescent="0.25">
      <c r="A22" t="s">
        <v>15</v>
      </c>
      <c r="B22" t="s">
        <v>16</v>
      </c>
      <c r="C22" t="s">
        <v>4</v>
      </c>
      <c r="D22" t="s">
        <v>621</v>
      </c>
      <c r="E22">
        <v>0.57714688767413158</v>
      </c>
    </row>
    <row r="23" spans="1:5" x14ac:dyDescent="0.25">
      <c r="A23" t="s">
        <v>15</v>
      </c>
      <c r="B23" t="s">
        <v>16</v>
      </c>
      <c r="C23" t="s">
        <v>18</v>
      </c>
      <c r="D23" t="s">
        <v>621</v>
      </c>
      <c r="E23">
        <v>0.44289340101522851</v>
      </c>
    </row>
    <row r="24" spans="1:5" x14ac:dyDescent="0.25">
      <c r="A24" t="s">
        <v>15</v>
      </c>
      <c r="B24" t="s">
        <v>16</v>
      </c>
      <c r="C24" t="s">
        <v>5</v>
      </c>
      <c r="D24" t="s">
        <v>621</v>
      </c>
      <c r="E24">
        <v>0.59951956074124912</v>
      </c>
    </row>
    <row r="25" spans="1:5" x14ac:dyDescent="0.25">
      <c r="A25" t="s">
        <v>15</v>
      </c>
      <c r="B25" t="s">
        <v>16</v>
      </c>
      <c r="C25" t="s">
        <v>19</v>
      </c>
      <c r="D25" t="s">
        <v>621</v>
      </c>
      <c r="E25">
        <v>1.6195598494306092</v>
      </c>
    </row>
    <row r="26" spans="1:5" x14ac:dyDescent="0.25">
      <c r="A26" t="s">
        <v>15</v>
      </c>
      <c r="B26" t="s">
        <v>16</v>
      </c>
      <c r="C26" t="s">
        <v>4</v>
      </c>
      <c r="D26" t="s">
        <v>24</v>
      </c>
      <c r="E26">
        <v>993</v>
      </c>
    </row>
    <row r="27" spans="1:5" x14ac:dyDescent="0.25">
      <c r="A27" t="s">
        <v>15</v>
      </c>
      <c r="B27" t="s">
        <v>16</v>
      </c>
      <c r="C27" t="s">
        <v>18</v>
      </c>
      <c r="D27" t="s">
        <v>24</v>
      </c>
      <c r="E27">
        <v>82</v>
      </c>
    </row>
    <row r="28" spans="1:5" x14ac:dyDescent="0.25">
      <c r="A28" t="s">
        <v>15</v>
      </c>
      <c r="B28" t="s">
        <v>16</v>
      </c>
      <c r="C28" t="s">
        <v>5</v>
      </c>
      <c r="D28" t="s">
        <v>24</v>
      </c>
      <c r="E28">
        <v>360</v>
      </c>
    </row>
    <row r="29" spans="1:5" x14ac:dyDescent="0.25">
      <c r="A29" t="s">
        <v>15</v>
      </c>
      <c r="B29" t="s">
        <v>16</v>
      </c>
      <c r="C29" t="s">
        <v>19</v>
      </c>
      <c r="D29" t="s">
        <v>24</v>
      </c>
      <c r="E29">
        <v>1435</v>
      </c>
    </row>
    <row r="30" spans="1:5" x14ac:dyDescent="0.25">
      <c r="A30" t="s">
        <v>25</v>
      </c>
      <c r="B30" t="s">
        <v>16</v>
      </c>
      <c r="C30" t="s">
        <v>4</v>
      </c>
      <c r="D30" t="s">
        <v>17</v>
      </c>
      <c r="E30">
        <v>978</v>
      </c>
    </row>
    <row r="31" spans="1:5" x14ac:dyDescent="0.25">
      <c r="A31" t="s">
        <v>25</v>
      </c>
      <c r="B31" t="s">
        <v>16</v>
      </c>
      <c r="C31" t="s">
        <v>18</v>
      </c>
      <c r="D31" t="s">
        <v>17</v>
      </c>
      <c r="E31">
        <v>13</v>
      </c>
    </row>
    <row r="32" spans="1:5" x14ac:dyDescent="0.25">
      <c r="A32" t="s">
        <v>25</v>
      </c>
      <c r="B32" t="s">
        <v>16</v>
      </c>
      <c r="C32" t="s">
        <v>5</v>
      </c>
      <c r="D32" t="s">
        <v>17</v>
      </c>
      <c r="E32">
        <v>0</v>
      </c>
    </row>
    <row r="33" spans="1:5" x14ac:dyDescent="0.25">
      <c r="A33" t="s">
        <v>25</v>
      </c>
      <c r="B33" t="s">
        <v>16</v>
      </c>
      <c r="C33" t="s">
        <v>19</v>
      </c>
      <c r="D33" t="s">
        <v>17</v>
      </c>
      <c r="E33">
        <v>991</v>
      </c>
    </row>
    <row r="34" spans="1:5" x14ac:dyDescent="0.25">
      <c r="A34" t="s">
        <v>25</v>
      </c>
      <c r="B34" t="s">
        <v>16</v>
      </c>
      <c r="C34" t="s">
        <v>4</v>
      </c>
      <c r="D34" t="s">
        <v>20</v>
      </c>
      <c r="E34">
        <v>10939</v>
      </c>
    </row>
    <row r="35" spans="1:5" x14ac:dyDescent="0.25">
      <c r="A35" t="s">
        <v>25</v>
      </c>
      <c r="B35" t="s">
        <v>16</v>
      </c>
      <c r="C35" t="s">
        <v>18</v>
      </c>
      <c r="D35" t="s">
        <v>20</v>
      </c>
      <c r="E35">
        <v>720</v>
      </c>
    </row>
    <row r="36" spans="1:5" x14ac:dyDescent="0.25">
      <c r="A36" t="s">
        <v>25</v>
      </c>
      <c r="B36" t="s">
        <v>16</v>
      </c>
      <c r="C36" t="s">
        <v>5</v>
      </c>
      <c r="D36" t="s">
        <v>20</v>
      </c>
      <c r="E36">
        <v>3716</v>
      </c>
    </row>
    <row r="37" spans="1:5" x14ac:dyDescent="0.25">
      <c r="A37" t="s">
        <v>25</v>
      </c>
      <c r="B37" t="s">
        <v>16</v>
      </c>
      <c r="C37" t="s">
        <v>19</v>
      </c>
      <c r="D37" t="s">
        <v>20</v>
      </c>
      <c r="E37">
        <v>15375</v>
      </c>
    </row>
    <row r="38" spans="1:5" x14ac:dyDescent="0.25">
      <c r="A38" t="s">
        <v>25</v>
      </c>
      <c r="B38" t="s">
        <v>16</v>
      </c>
      <c r="C38" t="s">
        <v>4</v>
      </c>
      <c r="D38" t="s">
        <v>21</v>
      </c>
      <c r="E38">
        <v>0.92355945873286149</v>
      </c>
    </row>
    <row r="39" spans="1:5" x14ac:dyDescent="0.25">
      <c r="A39" t="s">
        <v>25</v>
      </c>
      <c r="B39" t="s">
        <v>16</v>
      </c>
      <c r="C39" t="s">
        <v>18</v>
      </c>
      <c r="D39" t="s">
        <v>21</v>
      </c>
      <c r="E39">
        <v>0.16957605985037408</v>
      </c>
    </row>
    <row r="40" spans="1:5" x14ac:dyDescent="0.25">
      <c r="A40" t="s">
        <v>25</v>
      </c>
      <c r="B40" t="s">
        <v>16</v>
      </c>
      <c r="C40" t="s">
        <v>5</v>
      </c>
      <c r="D40" t="s">
        <v>21</v>
      </c>
      <c r="E40">
        <v>0.89603792753132405</v>
      </c>
    </row>
    <row r="41" spans="1:5" x14ac:dyDescent="0.25">
      <c r="A41" t="s">
        <v>25</v>
      </c>
      <c r="B41" t="s">
        <v>16</v>
      </c>
      <c r="C41" t="s">
        <v>19</v>
      </c>
      <c r="D41" t="s">
        <v>21</v>
      </c>
      <c r="E41">
        <v>1.9891734461145596</v>
      </c>
    </row>
    <row r="42" spans="1:5" x14ac:dyDescent="0.25">
      <c r="A42" t="s">
        <v>25</v>
      </c>
      <c r="B42" t="s">
        <v>16</v>
      </c>
      <c r="C42" t="s">
        <v>4</v>
      </c>
      <c r="D42" t="s">
        <v>22</v>
      </c>
      <c r="E42">
        <v>0.13510221835580688</v>
      </c>
    </row>
    <row r="43" spans="1:5" x14ac:dyDescent="0.25">
      <c r="A43" t="s">
        <v>25</v>
      </c>
      <c r="B43" t="s">
        <v>16</v>
      </c>
      <c r="C43" t="s">
        <v>18</v>
      </c>
      <c r="D43" t="s">
        <v>22</v>
      </c>
      <c r="E43">
        <v>0.21393034825870649</v>
      </c>
    </row>
    <row r="44" spans="1:5" x14ac:dyDescent="0.25">
      <c r="A44" t="s">
        <v>25</v>
      </c>
      <c r="B44" t="s">
        <v>16</v>
      </c>
      <c r="C44" t="s">
        <v>5</v>
      </c>
      <c r="D44" t="s">
        <v>22</v>
      </c>
      <c r="E44">
        <v>0.19302404334575007</v>
      </c>
    </row>
    <row r="45" spans="1:5" x14ac:dyDescent="0.25">
      <c r="A45" t="s">
        <v>25</v>
      </c>
      <c r="B45" t="s">
        <v>16</v>
      </c>
      <c r="C45" t="s">
        <v>19</v>
      </c>
      <c r="D45" t="s">
        <v>22</v>
      </c>
      <c r="E45">
        <v>0.54205660996026339</v>
      </c>
    </row>
    <row r="46" spans="1:5" x14ac:dyDescent="0.25">
      <c r="A46" t="s">
        <v>25</v>
      </c>
      <c r="B46" t="s">
        <v>16</v>
      </c>
      <c r="C46" t="s">
        <v>4</v>
      </c>
      <c r="D46" t="s">
        <v>23</v>
      </c>
      <c r="E46">
        <v>0.25950413223140495</v>
      </c>
    </row>
    <row r="47" spans="1:5" x14ac:dyDescent="0.25">
      <c r="A47" t="s">
        <v>25</v>
      </c>
      <c r="B47" t="s">
        <v>16</v>
      </c>
      <c r="C47" t="s">
        <v>18</v>
      </c>
      <c r="D47" t="s">
        <v>23</v>
      </c>
      <c r="E47">
        <v>0.34328358208955223</v>
      </c>
    </row>
    <row r="48" spans="1:5" x14ac:dyDescent="0.25">
      <c r="A48" t="s">
        <v>25</v>
      </c>
      <c r="B48" t="s">
        <v>16</v>
      </c>
      <c r="C48" t="s">
        <v>5</v>
      </c>
      <c r="D48" t="s">
        <v>23</v>
      </c>
      <c r="E48">
        <v>0.20081273281408735</v>
      </c>
    </row>
    <row r="49" spans="1:5" x14ac:dyDescent="0.25">
      <c r="A49" t="s">
        <v>25</v>
      </c>
      <c r="B49" t="s">
        <v>16</v>
      </c>
      <c r="C49" t="s">
        <v>19</v>
      </c>
      <c r="D49" t="s">
        <v>23</v>
      </c>
      <c r="E49">
        <v>0.80360044713504464</v>
      </c>
    </row>
    <row r="50" spans="1:5" x14ac:dyDescent="0.25">
      <c r="A50" t="s">
        <v>25</v>
      </c>
      <c r="B50" t="s">
        <v>16</v>
      </c>
      <c r="C50" t="s">
        <v>4</v>
      </c>
      <c r="D50" t="s">
        <v>621</v>
      </c>
      <c r="E50">
        <v>0.60539364941278817</v>
      </c>
    </row>
    <row r="51" spans="1:5" x14ac:dyDescent="0.25">
      <c r="A51" t="s">
        <v>25</v>
      </c>
      <c r="B51" t="s">
        <v>16</v>
      </c>
      <c r="C51" t="s">
        <v>18</v>
      </c>
      <c r="D51" t="s">
        <v>621</v>
      </c>
      <c r="E51">
        <v>0.44278606965174128</v>
      </c>
    </row>
    <row r="52" spans="1:5" x14ac:dyDescent="0.25">
      <c r="A52" t="s">
        <v>25</v>
      </c>
      <c r="B52" t="s">
        <v>16</v>
      </c>
      <c r="C52" t="s">
        <v>5</v>
      </c>
      <c r="D52" t="s">
        <v>621</v>
      </c>
      <c r="E52">
        <v>0.60616322384016252</v>
      </c>
    </row>
    <row r="53" spans="1:5" x14ac:dyDescent="0.25">
      <c r="A53" t="s">
        <v>25</v>
      </c>
      <c r="B53" t="s">
        <v>16</v>
      </c>
      <c r="C53" t="s">
        <v>19</v>
      </c>
      <c r="D53" t="s">
        <v>621</v>
      </c>
      <c r="E53">
        <v>1.6543429429046921</v>
      </c>
    </row>
    <row r="54" spans="1:5" x14ac:dyDescent="0.25">
      <c r="A54" t="s">
        <v>25</v>
      </c>
      <c r="B54" t="s">
        <v>16</v>
      </c>
      <c r="C54" t="s">
        <v>4</v>
      </c>
      <c r="D54" t="s">
        <v>24</v>
      </c>
      <c r="E54">
        <v>757</v>
      </c>
    </row>
    <row r="55" spans="1:5" x14ac:dyDescent="0.25">
      <c r="A55" t="s">
        <v>25</v>
      </c>
      <c r="B55" t="s">
        <v>16</v>
      </c>
      <c r="C55" t="s">
        <v>18</v>
      </c>
      <c r="D55" t="s">
        <v>24</v>
      </c>
      <c r="E55">
        <v>78</v>
      </c>
    </row>
    <row r="56" spans="1:5" x14ac:dyDescent="0.25">
      <c r="A56" t="s">
        <v>25</v>
      </c>
      <c r="B56" t="s">
        <v>16</v>
      </c>
      <c r="C56" t="s">
        <v>5</v>
      </c>
      <c r="D56" t="s">
        <v>24</v>
      </c>
      <c r="E56">
        <v>356</v>
      </c>
    </row>
    <row r="57" spans="1:5" x14ac:dyDescent="0.25">
      <c r="A57" t="s">
        <v>25</v>
      </c>
      <c r="B57" t="s">
        <v>16</v>
      </c>
      <c r="C57" t="s">
        <v>19</v>
      </c>
      <c r="D57" t="s">
        <v>24</v>
      </c>
      <c r="E57">
        <v>1191</v>
      </c>
    </row>
    <row r="58" spans="1:5" x14ac:dyDescent="0.25">
      <c r="A58" t="s">
        <v>26</v>
      </c>
      <c r="B58" t="s">
        <v>16</v>
      </c>
      <c r="C58" t="s">
        <v>4</v>
      </c>
      <c r="D58" t="s">
        <v>17</v>
      </c>
      <c r="E58">
        <v>76</v>
      </c>
    </row>
    <row r="59" spans="1:5" x14ac:dyDescent="0.25">
      <c r="A59" t="s">
        <v>26</v>
      </c>
      <c r="B59" t="s">
        <v>16</v>
      </c>
      <c r="C59" t="s">
        <v>18</v>
      </c>
      <c r="D59" t="s">
        <v>17</v>
      </c>
      <c r="E59">
        <v>5</v>
      </c>
    </row>
    <row r="60" spans="1:5" x14ac:dyDescent="0.25">
      <c r="A60" t="s">
        <v>26</v>
      </c>
      <c r="B60" t="s">
        <v>16</v>
      </c>
      <c r="C60" t="s">
        <v>5</v>
      </c>
      <c r="D60" t="s">
        <v>17</v>
      </c>
      <c r="E60">
        <v>1</v>
      </c>
    </row>
    <row r="61" spans="1:5" x14ac:dyDescent="0.25">
      <c r="A61" t="s">
        <v>26</v>
      </c>
      <c r="B61" t="s">
        <v>16</v>
      </c>
      <c r="C61" t="s">
        <v>19</v>
      </c>
      <c r="D61" t="s">
        <v>17</v>
      </c>
      <c r="E61">
        <v>82</v>
      </c>
    </row>
    <row r="62" spans="1:5" x14ac:dyDescent="0.25">
      <c r="A62" t="s">
        <v>26</v>
      </c>
      <c r="B62" t="s">
        <v>16</v>
      </c>
      <c r="C62" t="s">
        <v>4</v>
      </c>
      <c r="D62" t="s">
        <v>20</v>
      </c>
      <c r="E62">
        <v>11829</v>
      </c>
    </row>
    <row r="63" spans="1:5" x14ac:dyDescent="0.25">
      <c r="A63" t="s">
        <v>26</v>
      </c>
      <c r="B63" t="s">
        <v>16</v>
      </c>
      <c r="C63" t="s">
        <v>18</v>
      </c>
      <c r="D63" t="s">
        <v>20</v>
      </c>
      <c r="E63">
        <v>714</v>
      </c>
    </row>
    <row r="64" spans="1:5" x14ac:dyDescent="0.25">
      <c r="A64" t="s">
        <v>26</v>
      </c>
      <c r="B64" t="s">
        <v>16</v>
      </c>
      <c r="C64" t="s">
        <v>5</v>
      </c>
      <c r="D64" t="s">
        <v>20</v>
      </c>
      <c r="E64">
        <v>3415</v>
      </c>
    </row>
    <row r="65" spans="1:5" x14ac:dyDescent="0.25">
      <c r="A65" t="s">
        <v>26</v>
      </c>
      <c r="B65" t="s">
        <v>16</v>
      </c>
      <c r="C65" t="s">
        <v>19</v>
      </c>
      <c r="D65" t="s">
        <v>20</v>
      </c>
      <c r="E65">
        <v>15958</v>
      </c>
    </row>
    <row r="66" spans="1:5" x14ac:dyDescent="0.25">
      <c r="A66" t="s">
        <v>26</v>
      </c>
      <c r="B66" t="s">
        <v>16</v>
      </c>
      <c r="C66" t="s">
        <v>4</v>
      </c>
      <c r="D66" t="s">
        <v>21</v>
      </c>
      <c r="E66">
        <v>0.92742777584406544</v>
      </c>
    </row>
    <row r="67" spans="1:5" x14ac:dyDescent="0.25">
      <c r="A67" t="s">
        <v>26</v>
      </c>
      <c r="B67" t="s">
        <v>16</v>
      </c>
      <c r="C67" t="s">
        <v>18</v>
      </c>
      <c r="D67" t="s">
        <v>21</v>
      </c>
      <c r="E67">
        <v>0.16377171215880892</v>
      </c>
    </row>
    <row r="68" spans="1:5" x14ac:dyDescent="0.25">
      <c r="A68" t="s">
        <v>26</v>
      </c>
      <c r="B68" t="s">
        <v>16</v>
      </c>
      <c r="C68" t="s">
        <v>5</v>
      </c>
      <c r="D68" t="s">
        <v>21</v>
      </c>
      <c r="E68">
        <v>0.91262469900240795</v>
      </c>
    </row>
    <row r="69" spans="1:5" x14ac:dyDescent="0.25">
      <c r="A69" t="s">
        <v>26</v>
      </c>
      <c r="B69" t="s">
        <v>16</v>
      </c>
      <c r="C69" t="s">
        <v>19</v>
      </c>
      <c r="D69" t="s">
        <v>21</v>
      </c>
      <c r="E69">
        <v>2.0038241870052822</v>
      </c>
    </row>
    <row r="70" spans="1:5" x14ac:dyDescent="0.25">
      <c r="A70" t="s">
        <v>26</v>
      </c>
      <c r="B70" t="s">
        <v>16</v>
      </c>
      <c r="C70" t="s">
        <v>4</v>
      </c>
      <c r="D70" t="s">
        <v>22</v>
      </c>
      <c r="E70">
        <v>0.15602158022972504</v>
      </c>
    </row>
    <row r="71" spans="1:5" x14ac:dyDescent="0.25">
      <c r="A71" t="s">
        <v>26</v>
      </c>
      <c r="B71" t="s">
        <v>16</v>
      </c>
      <c r="C71" t="s">
        <v>18</v>
      </c>
      <c r="D71" t="s">
        <v>22</v>
      </c>
      <c r="E71">
        <v>0.16645649432534679</v>
      </c>
    </row>
    <row r="72" spans="1:5" x14ac:dyDescent="0.25">
      <c r="A72" t="s">
        <v>26</v>
      </c>
      <c r="B72" t="s">
        <v>16</v>
      </c>
      <c r="C72" t="s">
        <v>5</v>
      </c>
      <c r="D72" t="s">
        <v>22</v>
      </c>
      <c r="E72">
        <v>0.19470244238046097</v>
      </c>
    </row>
    <row r="73" spans="1:5" x14ac:dyDescent="0.25">
      <c r="A73" t="s">
        <v>26</v>
      </c>
      <c r="B73" t="s">
        <v>16</v>
      </c>
      <c r="C73" t="s">
        <v>19</v>
      </c>
      <c r="D73" t="s">
        <v>22</v>
      </c>
      <c r="E73">
        <v>0.5171805169355328</v>
      </c>
    </row>
    <row r="74" spans="1:5" x14ac:dyDescent="0.25">
      <c r="A74" t="s">
        <v>26</v>
      </c>
      <c r="B74" t="s">
        <v>16</v>
      </c>
      <c r="C74" t="s">
        <v>4</v>
      </c>
      <c r="D74" t="s">
        <v>23</v>
      </c>
      <c r="E74">
        <v>0.19082840236686391</v>
      </c>
    </row>
    <row r="75" spans="1:5" x14ac:dyDescent="0.25">
      <c r="A75" t="s">
        <v>26</v>
      </c>
      <c r="B75" t="s">
        <v>16</v>
      </c>
      <c r="C75" t="s">
        <v>18</v>
      </c>
      <c r="D75" t="s">
        <v>23</v>
      </c>
      <c r="E75">
        <v>0.34426229508196721</v>
      </c>
    </row>
    <row r="76" spans="1:5" x14ac:dyDescent="0.25">
      <c r="A76" t="s">
        <v>26</v>
      </c>
      <c r="B76" t="s">
        <v>16</v>
      </c>
      <c r="C76" t="s">
        <v>5</v>
      </c>
      <c r="D76" t="s">
        <v>23</v>
      </c>
      <c r="E76">
        <v>0.19745442036463709</v>
      </c>
    </row>
    <row r="77" spans="1:5" x14ac:dyDescent="0.25">
      <c r="A77" t="s">
        <v>26</v>
      </c>
      <c r="B77" t="s">
        <v>16</v>
      </c>
      <c r="C77" t="s">
        <v>19</v>
      </c>
      <c r="D77" t="s">
        <v>23</v>
      </c>
      <c r="E77">
        <v>0.73254511781346821</v>
      </c>
    </row>
    <row r="78" spans="1:5" x14ac:dyDescent="0.25">
      <c r="A78" t="s">
        <v>26</v>
      </c>
      <c r="B78" t="s">
        <v>16</v>
      </c>
      <c r="C78" t="s">
        <v>4</v>
      </c>
      <c r="D78" t="s">
        <v>621</v>
      </c>
      <c r="E78">
        <v>0.65315001740341105</v>
      </c>
    </row>
    <row r="79" spans="1:5" x14ac:dyDescent="0.25">
      <c r="A79" t="s">
        <v>26</v>
      </c>
      <c r="B79" t="s">
        <v>16</v>
      </c>
      <c r="C79" t="s">
        <v>18</v>
      </c>
      <c r="D79" t="s">
        <v>621</v>
      </c>
      <c r="E79">
        <v>0.48928121059268598</v>
      </c>
    </row>
    <row r="80" spans="1:5" x14ac:dyDescent="0.25">
      <c r="A80" t="s">
        <v>26</v>
      </c>
      <c r="B80" t="s">
        <v>16</v>
      </c>
      <c r="C80" t="s">
        <v>5</v>
      </c>
      <c r="D80" t="s">
        <v>621</v>
      </c>
      <c r="E80">
        <v>0.60784313725490191</v>
      </c>
    </row>
    <row r="81" spans="1:5" x14ac:dyDescent="0.25">
      <c r="A81" t="s">
        <v>26</v>
      </c>
      <c r="B81" t="s">
        <v>16</v>
      </c>
      <c r="C81" t="s">
        <v>19</v>
      </c>
      <c r="D81" t="s">
        <v>621</v>
      </c>
      <c r="E81">
        <v>1.7502743652509989</v>
      </c>
    </row>
    <row r="82" spans="1:5" x14ac:dyDescent="0.25">
      <c r="A82" t="s">
        <v>26</v>
      </c>
      <c r="B82" t="s">
        <v>16</v>
      </c>
      <c r="C82" t="s">
        <v>4</v>
      </c>
      <c r="D82" t="s">
        <v>24</v>
      </c>
      <c r="E82">
        <v>899</v>
      </c>
    </row>
    <row r="83" spans="1:5" x14ac:dyDescent="0.25">
      <c r="A83" t="s">
        <v>26</v>
      </c>
      <c r="B83" t="s">
        <v>16</v>
      </c>
      <c r="C83" t="s">
        <v>18</v>
      </c>
      <c r="D83" t="s">
        <v>24</v>
      </c>
      <c r="E83">
        <v>94</v>
      </c>
    </row>
    <row r="84" spans="1:5" x14ac:dyDescent="0.25">
      <c r="A84" t="s">
        <v>26</v>
      </c>
      <c r="B84" t="s">
        <v>16</v>
      </c>
      <c r="C84" t="s">
        <v>5</v>
      </c>
      <c r="D84" t="s">
        <v>24</v>
      </c>
      <c r="E84">
        <v>361</v>
      </c>
    </row>
    <row r="85" spans="1:5" x14ac:dyDescent="0.25">
      <c r="A85" t="s">
        <v>26</v>
      </c>
      <c r="B85" t="s">
        <v>16</v>
      </c>
      <c r="C85" t="s">
        <v>19</v>
      </c>
      <c r="D85" t="s">
        <v>24</v>
      </c>
      <c r="E85">
        <v>1354</v>
      </c>
    </row>
    <row r="86" spans="1:5" x14ac:dyDescent="0.25">
      <c r="A86" t="s">
        <v>27</v>
      </c>
      <c r="B86" t="s">
        <v>16</v>
      </c>
      <c r="C86" t="s">
        <v>4</v>
      </c>
      <c r="D86" t="s">
        <v>17</v>
      </c>
      <c r="E86">
        <v>419</v>
      </c>
    </row>
    <row r="87" spans="1:5" x14ac:dyDescent="0.25">
      <c r="A87" t="s">
        <v>27</v>
      </c>
      <c r="B87" t="s">
        <v>16</v>
      </c>
      <c r="C87" t="s">
        <v>18</v>
      </c>
      <c r="D87" t="s">
        <v>17</v>
      </c>
      <c r="E87">
        <v>15</v>
      </c>
    </row>
    <row r="88" spans="1:5" x14ac:dyDescent="0.25">
      <c r="A88" t="s">
        <v>27</v>
      </c>
      <c r="B88" t="s">
        <v>16</v>
      </c>
      <c r="C88" t="s">
        <v>5</v>
      </c>
      <c r="D88" t="s">
        <v>17</v>
      </c>
      <c r="E88">
        <v>14</v>
      </c>
    </row>
    <row r="89" spans="1:5" x14ac:dyDescent="0.25">
      <c r="A89" t="s">
        <v>27</v>
      </c>
      <c r="B89" t="s">
        <v>16</v>
      </c>
      <c r="C89" t="s">
        <v>19</v>
      </c>
      <c r="D89" t="s">
        <v>17</v>
      </c>
      <c r="E89">
        <v>448</v>
      </c>
    </row>
    <row r="90" spans="1:5" x14ac:dyDescent="0.25">
      <c r="A90" t="s">
        <v>27</v>
      </c>
      <c r="B90" t="s">
        <v>16</v>
      </c>
      <c r="C90" t="s">
        <v>4</v>
      </c>
      <c r="D90" t="s">
        <v>20</v>
      </c>
      <c r="E90">
        <v>11230</v>
      </c>
    </row>
    <row r="91" spans="1:5" x14ac:dyDescent="0.25">
      <c r="A91" t="s">
        <v>27</v>
      </c>
      <c r="B91" t="s">
        <v>16</v>
      </c>
      <c r="C91" t="s">
        <v>18</v>
      </c>
      <c r="D91" t="s">
        <v>20</v>
      </c>
      <c r="E91">
        <v>843</v>
      </c>
    </row>
    <row r="92" spans="1:5" x14ac:dyDescent="0.25">
      <c r="A92" t="s">
        <v>27</v>
      </c>
      <c r="B92" t="s">
        <v>16</v>
      </c>
      <c r="C92" t="s">
        <v>5</v>
      </c>
      <c r="D92" t="s">
        <v>20</v>
      </c>
      <c r="E92">
        <v>3349</v>
      </c>
    </row>
    <row r="93" spans="1:5" x14ac:dyDescent="0.25">
      <c r="A93" t="s">
        <v>27</v>
      </c>
      <c r="B93" t="s">
        <v>16</v>
      </c>
      <c r="C93" t="s">
        <v>19</v>
      </c>
      <c r="D93" t="s">
        <v>20</v>
      </c>
      <c r="E93">
        <v>15422</v>
      </c>
    </row>
    <row r="94" spans="1:5" x14ac:dyDescent="0.25">
      <c r="A94" t="s">
        <v>27</v>
      </c>
      <c r="B94" t="s">
        <v>16</v>
      </c>
      <c r="C94" t="s">
        <v>4</v>
      </c>
      <c r="D94" t="s">
        <v>21</v>
      </c>
      <c r="E94">
        <v>0.932325601598471</v>
      </c>
    </row>
    <row r="95" spans="1:5" x14ac:dyDescent="0.25">
      <c r="A95" t="s">
        <v>27</v>
      </c>
      <c r="B95" t="s">
        <v>16</v>
      </c>
      <c r="C95" t="s">
        <v>18</v>
      </c>
      <c r="D95" t="s">
        <v>21</v>
      </c>
      <c r="E95">
        <v>0.19071518193224593</v>
      </c>
    </row>
    <row r="96" spans="1:5" x14ac:dyDescent="0.25">
      <c r="A96" t="s">
        <v>27</v>
      </c>
      <c r="B96" t="s">
        <v>16</v>
      </c>
      <c r="C96" t="s">
        <v>5</v>
      </c>
      <c r="D96" t="s">
        <v>21</v>
      </c>
      <c r="E96">
        <v>0.94602076124567469</v>
      </c>
    </row>
    <row r="97" spans="1:5" x14ac:dyDescent="0.25">
      <c r="A97" t="s">
        <v>27</v>
      </c>
      <c r="B97" t="s">
        <v>16</v>
      </c>
      <c r="C97" t="s">
        <v>19</v>
      </c>
      <c r="D97" t="s">
        <v>21</v>
      </c>
      <c r="E97">
        <v>2.0690615447763916</v>
      </c>
    </row>
    <row r="98" spans="1:5" x14ac:dyDescent="0.25">
      <c r="A98" t="s">
        <v>27</v>
      </c>
      <c r="B98" t="s">
        <v>16</v>
      </c>
      <c r="C98" t="s">
        <v>4</v>
      </c>
      <c r="D98" t="s">
        <v>22</v>
      </c>
      <c r="E98">
        <v>0.20979932238728172</v>
      </c>
    </row>
    <row r="99" spans="1:5" x14ac:dyDescent="0.25">
      <c r="A99" t="s">
        <v>27</v>
      </c>
      <c r="B99" t="s">
        <v>16</v>
      </c>
      <c r="C99" t="s">
        <v>18</v>
      </c>
      <c r="D99" t="s">
        <v>22</v>
      </c>
      <c r="E99">
        <v>0.19698870765370136</v>
      </c>
    </row>
    <row r="100" spans="1:5" x14ac:dyDescent="0.25">
      <c r="A100" t="s">
        <v>27</v>
      </c>
      <c r="B100" t="s">
        <v>16</v>
      </c>
      <c r="C100" t="s">
        <v>5</v>
      </c>
      <c r="D100" t="s">
        <v>22</v>
      </c>
      <c r="E100">
        <v>0.18269896193771623</v>
      </c>
    </row>
    <row r="101" spans="1:5" x14ac:dyDescent="0.25">
      <c r="A101" t="s">
        <v>27</v>
      </c>
      <c r="B101" t="s">
        <v>16</v>
      </c>
      <c r="C101" t="s">
        <v>19</v>
      </c>
      <c r="D101" t="s">
        <v>22</v>
      </c>
      <c r="E101">
        <v>0.58948699197869936</v>
      </c>
    </row>
    <row r="102" spans="1:5" x14ac:dyDescent="0.25">
      <c r="A102" t="s">
        <v>27</v>
      </c>
      <c r="B102" t="s">
        <v>16</v>
      </c>
      <c r="C102" t="s">
        <v>4</v>
      </c>
      <c r="D102" t="s">
        <v>23</v>
      </c>
      <c r="E102">
        <v>0.18330292763443665</v>
      </c>
    </row>
    <row r="103" spans="1:5" x14ac:dyDescent="0.25">
      <c r="A103" t="s">
        <v>27</v>
      </c>
      <c r="B103" t="s">
        <v>16</v>
      </c>
      <c r="C103" t="s">
        <v>18</v>
      </c>
      <c r="D103" t="s">
        <v>23</v>
      </c>
      <c r="E103">
        <v>0.32496863237139273</v>
      </c>
    </row>
    <row r="104" spans="1:5" x14ac:dyDescent="0.25">
      <c r="A104" t="s">
        <v>27</v>
      </c>
      <c r="B104" t="s">
        <v>16</v>
      </c>
      <c r="C104" t="s">
        <v>5</v>
      </c>
      <c r="D104" t="s">
        <v>23</v>
      </c>
      <c r="E104">
        <v>0.16955017301038061</v>
      </c>
    </row>
    <row r="105" spans="1:5" x14ac:dyDescent="0.25">
      <c r="A105" t="s">
        <v>27</v>
      </c>
      <c r="B105" t="s">
        <v>16</v>
      </c>
      <c r="C105" t="s">
        <v>19</v>
      </c>
      <c r="D105" t="s">
        <v>23</v>
      </c>
      <c r="E105">
        <v>0.67782173301620996</v>
      </c>
    </row>
    <row r="106" spans="1:5" x14ac:dyDescent="0.25">
      <c r="A106" t="s">
        <v>27</v>
      </c>
      <c r="B106" t="s">
        <v>16</v>
      </c>
      <c r="C106" t="s">
        <v>4</v>
      </c>
      <c r="D106" t="s">
        <v>621</v>
      </c>
      <c r="E106">
        <v>0.60689774997828161</v>
      </c>
    </row>
    <row r="107" spans="1:5" x14ac:dyDescent="0.25">
      <c r="A107" t="s">
        <v>27</v>
      </c>
      <c r="B107" t="s">
        <v>16</v>
      </c>
      <c r="C107" t="s">
        <v>18</v>
      </c>
      <c r="D107" t="s">
        <v>621</v>
      </c>
      <c r="E107">
        <v>0.47804265997490591</v>
      </c>
    </row>
    <row r="108" spans="1:5" x14ac:dyDescent="0.25">
      <c r="A108" t="s">
        <v>27</v>
      </c>
      <c r="B108" t="s">
        <v>16</v>
      </c>
      <c r="C108" t="s">
        <v>5</v>
      </c>
      <c r="D108" t="s">
        <v>621</v>
      </c>
      <c r="E108">
        <v>0.64775086505190316</v>
      </c>
    </row>
    <row r="109" spans="1:5" x14ac:dyDescent="0.25">
      <c r="A109" t="s">
        <v>27</v>
      </c>
      <c r="B109" t="s">
        <v>16</v>
      </c>
      <c r="C109" t="s">
        <v>19</v>
      </c>
      <c r="D109" t="s">
        <v>621</v>
      </c>
      <c r="E109">
        <v>1.7326912750050909</v>
      </c>
    </row>
    <row r="110" spans="1:5" x14ac:dyDescent="0.25">
      <c r="A110" t="s">
        <v>27</v>
      </c>
      <c r="B110" t="s">
        <v>16</v>
      </c>
      <c r="C110" t="s">
        <v>4</v>
      </c>
      <c r="D110" t="s">
        <v>24</v>
      </c>
      <c r="E110">
        <v>880</v>
      </c>
    </row>
    <row r="111" spans="1:5" x14ac:dyDescent="0.25">
      <c r="A111" t="s">
        <v>27</v>
      </c>
      <c r="B111" t="s">
        <v>16</v>
      </c>
      <c r="C111" t="s">
        <v>18</v>
      </c>
      <c r="D111" t="s">
        <v>24</v>
      </c>
      <c r="E111">
        <v>97</v>
      </c>
    </row>
    <row r="112" spans="1:5" x14ac:dyDescent="0.25">
      <c r="A112" t="s">
        <v>27</v>
      </c>
      <c r="B112" t="s">
        <v>16</v>
      </c>
      <c r="C112" t="s">
        <v>5</v>
      </c>
      <c r="D112" t="s">
        <v>24</v>
      </c>
      <c r="E112">
        <v>339</v>
      </c>
    </row>
    <row r="113" spans="1:5" x14ac:dyDescent="0.25">
      <c r="A113" t="s">
        <v>27</v>
      </c>
      <c r="B113" t="s">
        <v>16</v>
      </c>
      <c r="C113" t="s">
        <v>19</v>
      </c>
      <c r="D113" t="s">
        <v>24</v>
      </c>
      <c r="E113">
        <v>1316</v>
      </c>
    </row>
    <row r="114" spans="1:5" x14ac:dyDescent="0.25">
      <c r="A114" t="s">
        <v>28</v>
      </c>
      <c r="B114" t="s">
        <v>16</v>
      </c>
      <c r="C114" t="s">
        <v>4</v>
      </c>
      <c r="D114" t="s">
        <v>6</v>
      </c>
      <c r="E114">
        <v>10485</v>
      </c>
    </row>
    <row r="115" spans="1:5" x14ac:dyDescent="0.25">
      <c r="A115" t="s">
        <v>28</v>
      </c>
      <c r="B115" t="s">
        <v>16</v>
      </c>
      <c r="C115" t="s">
        <v>18</v>
      </c>
      <c r="D115" t="s">
        <v>6</v>
      </c>
      <c r="E115">
        <v>222</v>
      </c>
    </row>
    <row r="116" spans="1:5" x14ac:dyDescent="0.25">
      <c r="A116" t="s">
        <v>28</v>
      </c>
      <c r="B116" t="s">
        <v>16</v>
      </c>
      <c r="C116" t="s">
        <v>5</v>
      </c>
      <c r="D116" t="s">
        <v>6</v>
      </c>
      <c r="E116">
        <v>2794</v>
      </c>
    </row>
    <row r="117" spans="1:5" x14ac:dyDescent="0.25">
      <c r="A117" t="s">
        <v>28</v>
      </c>
      <c r="B117" t="s">
        <v>16</v>
      </c>
      <c r="C117" t="s">
        <v>19</v>
      </c>
      <c r="D117" t="s">
        <v>6</v>
      </c>
      <c r="E117">
        <v>13501</v>
      </c>
    </row>
    <row r="118" spans="1:5" x14ac:dyDescent="0.25">
      <c r="A118" t="s">
        <v>28</v>
      </c>
      <c r="B118" t="s">
        <v>16</v>
      </c>
      <c r="C118" t="s">
        <v>4</v>
      </c>
      <c r="D118" t="s">
        <v>17</v>
      </c>
      <c r="E118">
        <v>308</v>
      </c>
    </row>
    <row r="119" spans="1:5" x14ac:dyDescent="0.25">
      <c r="A119" t="s">
        <v>28</v>
      </c>
      <c r="B119" t="s">
        <v>16</v>
      </c>
      <c r="C119" t="s">
        <v>18</v>
      </c>
      <c r="D119" t="s">
        <v>17</v>
      </c>
      <c r="E119">
        <v>26</v>
      </c>
    </row>
    <row r="120" spans="1:5" x14ac:dyDescent="0.25">
      <c r="A120" t="s">
        <v>28</v>
      </c>
      <c r="B120" t="s">
        <v>16</v>
      </c>
      <c r="C120" t="s">
        <v>5</v>
      </c>
      <c r="D120" t="s">
        <v>17</v>
      </c>
      <c r="E120">
        <v>6</v>
      </c>
    </row>
    <row r="121" spans="1:5" x14ac:dyDescent="0.25">
      <c r="A121" t="s">
        <v>28</v>
      </c>
      <c r="B121" t="s">
        <v>16</v>
      </c>
      <c r="C121" t="s">
        <v>19</v>
      </c>
      <c r="D121" t="s">
        <v>17</v>
      </c>
      <c r="E121">
        <v>340</v>
      </c>
    </row>
    <row r="122" spans="1:5" x14ac:dyDescent="0.25">
      <c r="A122" t="s">
        <v>28</v>
      </c>
      <c r="B122" t="s">
        <v>16</v>
      </c>
      <c r="C122" t="s">
        <v>4</v>
      </c>
      <c r="D122" t="s">
        <v>29</v>
      </c>
      <c r="E122" t="s">
        <v>30</v>
      </c>
    </row>
    <row r="123" spans="1:5" x14ac:dyDescent="0.25">
      <c r="A123" t="s">
        <v>28</v>
      </c>
      <c r="B123" t="s">
        <v>16</v>
      </c>
      <c r="C123" t="s">
        <v>4</v>
      </c>
      <c r="D123" t="s">
        <v>31</v>
      </c>
      <c r="E123" t="s">
        <v>32</v>
      </c>
    </row>
    <row r="124" spans="1:5" x14ac:dyDescent="0.25">
      <c r="A124" t="s">
        <v>28</v>
      </c>
      <c r="B124" t="s">
        <v>16</v>
      </c>
      <c r="C124" t="s">
        <v>5</v>
      </c>
      <c r="D124" t="s">
        <v>31</v>
      </c>
      <c r="E124" t="s">
        <v>33</v>
      </c>
    </row>
    <row r="125" spans="1:5" x14ac:dyDescent="0.25">
      <c r="A125" t="s">
        <v>28</v>
      </c>
      <c r="B125" t="s">
        <v>16</v>
      </c>
      <c r="C125" t="s">
        <v>4</v>
      </c>
      <c r="D125" t="s">
        <v>34</v>
      </c>
      <c r="E125" t="s">
        <v>35</v>
      </c>
    </row>
    <row r="126" spans="1:5" x14ac:dyDescent="0.25">
      <c r="A126" t="s">
        <v>28</v>
      </c>
      <c r="B126" t="s">
        <v>16</v>
      </c>
      <c r="C126" t="s">
        <v>18</v>
      </c>
      <c r="D126" t="s">
        <v>34</v>
      </c>
      <c r="E126" t="s">
        <v>36</v>
      </c>
    </row>
    <row r="127" spans="1:5" x14ac:dyDescent="0.25">
      <c r="A127" t="s">
        <v>28</v>
      </c>
      <c r="B127" t="s">
        <v>16</v>
      </c>
      <c r="C127" t="s">
        <v>5</v>
      </c>
      <c r="D127" t="s">
        <v>34</v>
      </c>
      <c r="E127" t="s">
        <v>37</v>
      </c>
    </row>
    <row r="128" spans="1:5" x14ac:dyDescent="0.25">
      <c r="A128" t="s">
        <v>28</v>
      </c>
      <c r="B128" t="s">
        <v>16</v>
      </c>
      <c r="C128" t="s">
        <v>4</v>
      </c>
      <c r="D128" t="s">
        <v>38</v>
      </c>
      <c r="E128" t="s">
        <v>39</v>
      </c>
    </row>
    <row r="129" spans="1:5" x14ac:dyDescent="0.25">
      <c r="A129" t="s">
        <v>28</v>
      </c>
      <c r="B129" t="s">
        <v>16</v>
      </c>
      <c r="C129" t="s">
        <v>18</v>
      </c>
      <c r="D129" t="s">
        <v>38</v>
      </c>
      <c r="E129" t="s">
        <v>40</v>
      </c>
    </row>
    <row r="130" spans="1:5" x14ac:dyDescent="0.25">
      <c r="A130" t="s">
        <v>28</v>
      </c>
      <c r="B130" t="s">
        <v>16</v>
      </c>
      <c r="C130" t="s">
        <v>5</v>
      </c>
      <c r="D130" t="s">
        <v>38</v>
      </c>
      <c r="E130" t="s">
        <v>41</v>
      </c>
    </row>
    <row r="131" spans="1:5" x14ac:dyDescent="0.25">
      <c r="A131" t="s">
        <v>28</v>
      </c>
      <c r="B131" t="s">
        <v>16</v>
      </c>
      <c r="C131" t="s">
        <v>4</v>
      </c>
      <c r="D131" t="s">
        <v>20</v>
      </c>
      <c r="E131">
        <v>10563</v>
      </c>
    </row>
    <row r="132" spans="1:5" x14ac:dyDescent="0.25">
      <c r="A132" t="s">
        <v>28</v>
      </c>
      <c r="B132" t="s">
        <v>16</v>
      </c>
      <c r="C132" t="s">
        <v>18</v>
      </c>
      <c r="D132" t="s">
        <v>20</v>
      </c>
      <c r="E132">
        <v>663</v>
      </c>
    </row>
    <row r="133" spans="1:5" x14ac:dyDescent="0.25">
      <c r="A133" t="s">
        <v>28</v>
      </c>
      <c r="B133" t="s">
        <v>16</v>
      </c>
      <c r="C133" t="s">
        <v>5</v>
      </c>
      <c r="D133" t="s">
        <v>20</v>
      </c>
      <c r="E133">
        <v>3370</v>
      </c>
    </row>
    <row r="134" spans="1:5" x14ac:dyDescent="0.25">
      <c r="A134" t="s">
        <v>28</v>
      </c>
      <c r="B134" t="s">
        <v>16</v>
      </c>
      <c r="C134" t="s">
        <v>19</v>
      </c>
      <c r="D134" t="s">
        <v>20</v>
      </c>
      <c r="E134">
        <v>14596</v>
      </c>
    </row>
    <row r="135" spans="1:5" x14ac:dyDescent="0.25">
      <c r="A135" t="s">
        <v>28</v>
      </c>
      <c r="B135" t="s">
        <v>16</v>
      </c>
      <c r="C135" t="s">
        <v>4</v>
      </c>
      <c r="D135" t="s">
        <v>42</v>
      </c>
      <c r="E135">
        <v>278</v>
      </c>
    </row>
    <row r="136" spans="1:5" x14ac:dyDescent="0.25">
      <c r="A136" t="s">
        <v>28</v>
      </c>
      <c r="B136" t="s">
        <v>16</v>
      </c>
      <c r="C136" t="s">
        <v>19</v>
      </c>
      <c r="D136" t="s">
        <v>42</v>
      </c>
      <c r="E136">
        <v>278</v>
      </c>
    </row>
    <row r="137" spans="1:5" x14ac:dyDescent="0.25">
      <c r="A137" t="s">
        <v>28</v>
      </c>
      <c r="B137" t="s">
        <v>16</v>
      </c>
      <c r="C137" t="s">
        <v>4</v>
      </c>
      <c r="D137" t="s">
        <v>43</v>
      </c>
      <c r="E137">
        <v>1786</v>
      </c>
    </row>
    <row r="138" spans="1:5" x14ac:dyDescent="0.25">
      <c r="A138" t="s">
        <v>28</v>
      </c>
      <c r="B138" t="s">
        <v>16</v>
      </c>
      <c r="C138" t="s">
        <v>5</v>
      </c>
      <c r="D138" t="s">
        <v>43</v>
      </c>
      <c r="E138">
        <v>704</v>
      </c>
    </row>
    <row r="139" spans="1:5" x14ac:dyDescent="0.25">
      <c r="A139" t="s">
        <v>28</v>
      </c>
      <c r="B139" t="s">
        <v>16</v>
      </c>
      <c r="C139" t="s">
        <v>19</v>
      </c>
      <c r="D139" t="s">
        <v>43</v>
      </c>
      <c r="E139">
        <v>2490</v>
      </c>
    </row>
    <row r="140" spans="1:5" x14ac:dyDescent="0.25">
      <c r="A140" t="s">
        <v>28</v>
      </c>
      <c r="B140" t="s">
        <v>16</v>
      </c>
      <c r="C140" t="s">
        <v>4</v>
      </c>
      <c r="D140" t="s">
        <v>44</v>
      </c>
      <c r="E140">
        <v>8499</v>
      </c>
    </row>
    <row r="141" spans="1:5" x14ac:dyDescent="0.25">
      <c r="A141" t="s">
        <v>28</v>
      </c>
      <c r="B141" t="s">
        <v>16</v>
      </c>
      <c r="C141" t="s">
        <v>18</v>
      </c>
      <c r="D141" t="s">
        <v>44</v>
      </c>
      <c r="E141">
        <v>663</v>
      </c>
    </row>
    <row r="142" spans="1:5" x14ac:dyDescent="0.25">
      <c r="A142" t="s">
        <v>28</v>
      </c>
      <c r="B142" t="s">
        <v>16</v>
      </c>
      <c r="C142" t="s">
        <v>5</v>
      </c>
      <c r="D142" t="s">
        <v>44</v>
      </c>
      <c r="E142">
        <v>2666</v>
      </c>
    </row>
    <row r="143" spans="1:5" x14ac:dyDescent="0.25">
      <c r="A143" t="s">
        <v>28</v>
      </c>
      <c r="B143" t="s">
        <v>16</v>
      </c>
      <c r="C143" t="s">
        <v>19</v>
      </c>
      <c r="D143" t="s">
        <v>44</v>
      </c>
      <c r="E143">
        <v>11828</v>
      </c>
    </row>
    <row r="144" spans="1:5" x14ac:dyDescent="0.25">
      <c r="A144" t="s">
        <v>28</v>
      </c>
      <c r="B144" t="s">
        <v>16</v>
      </c>
      <c r="C144" t="s">
        <v>4</v>
      </c>
      <c r="D144" t="s">
        <v>21</v>
      </c>
      <c r="E144">
        <v>0.93026350811817937</v>
      </c>
    </row>
    <row r="145" spans="1:5" x14ac:dyDescent="0.25">
      <c r="A145" t="s">
        <v>28</v>
      </c>
      <c r="B145" t="s">
        <v>16</v>
      </c>
      <c r="C145" t="s">
        <v>18</v>
      </c>
      <c r="D145" t="s">
        <v>21</v>
      </c>
      <c r="E145">
        <v>0.27889447236180903</v>
      </c>
    </row>
    <row r="146" spans="1:5" x14ac:dyDescent="0.25">
      <c r="A146" t="s">
        <v>28</v>
      </c>
      <c r="B146" t="s">
        <v>16</v>
      </c>
      <c r="C146" t="s">
        <v>5</v>
      </c>
      <c r="D146" t="s">
        <v>21</v>
      </c>
      <c r="E146">
        <v>0.95456098394260336</v>
      </c>
    </row>
    <row r="147" spans="1:5" x14ac:dyDescent="0.25">
      <c r="A147" t="s">
        <v>28</v>
      </c>
      <c r="B147" t="s">
        <v>16</v>
      </c>
      <c r="C147" t="s">
        <v>19</v>
      </c>
      <c r="D147" t="s">
        <v>21</v>
      </c>
      <c r="E147">
        <v>2.1637189644225918</v>
      </c>
    </row>
    <row r="148" spans="1:5" x14ac:dyDescent="0.25">
      <c r="A148" t="s">
        <v>28</v>
      </c>
      <c r="B148" t="s">
        <v>16</v>
      </c>
      <c r="C148" t="s">
        <v>4</v>
      </c>
      <c r="D148" t="s">
        <v>22</v>
      </c>
      <c r="E148">
        <v>0.18915801614763553</v>
      </c>
    </row>
    <row r="149" spans="1:5" x14ac:dyDescent="0.25">
      <c r="A149" t="s">
        <v>28</v>
      </c>
      <c r="B149" t="s">
        <v>16</v>
      </c>
      <c r="C149" t="s">
        <v>18</v>
      </c>
      <c r="D149" t="s">
        <v>22</v>
      </c>
      <c r="E149">
        <v>0.18467336683417085</v>
      </c>
    </row>
    <row r="150" spans="1:5" x14ac:dyDescent="0.25">
      <c r="A150" t="s">
        <v>28</v>
      </c>
      <c r="B150" t="s">
        <v>16</v>
      </c>
      <c r="C150" t="s">
        <v>5</v>
      </c>
      <c r="D150" t="s">
        <v>22</v>
      </c>
      <c r="E150">
        <v>0.15203279808677828</v>
      </c>
    </row>
    <row r="151" spans="1:5" x14ac:dyDescent="0.25">
      <c r="A151" t="s">
        <v>28</v>
      </c>
      <c r="B151" t="s">
        <v>16</v>
      </c>
      <c r="C151" t="s">
        <v>19</v>
      </c>
      <c r="D151" t="s">
        <v>22</v>
      </c>
      <c r="E151">
        <v>0.52586418106858468</v>
      </c>
    </row>
    <row r="152" spans="1:5" x14ac:dyDescent="0.25">
      <c r="A152" t="s">
        <v>28</v>
      </c>
      <c r="B152" t="s">
        <v>16</v>
      </c>
      <c r="C152" t="s">
        <v>4</v>
      </c>
      <c r="D152" t="s">
        <v>23</v>
      </c>
      <c r="E152">
        <v>0.17363144352763729</v>
      </c>
    </row>
    <row r="153" spans="1:5" x14ac:dyDescent="0.25">
      <c r="A153" t="s">
        <v>28</v>
      </c>
      <c r="B153" t="s">
        <v>16</v>
      </c>
      <c r="C153" t="s">
        <v>18</v>
      </c>
      <c r="D153" t="s">
        <v>23</v>
      </c>
      <c r="E153">
        <v>0.27889447236180903</v>
      </c>
    </row>
    <row r="154" spans="1:5" x14ac:dyDescent="0.25">
      <c r="A154" t="s">
        <v>28</v>
      </c>
      <c r="B154" t="s">
        <v>16</v>
      </c>
      <c r="C154" t="s">
        <v>5</v>
      </c>
      <c r="D154" t="s">
        <v>23</v>
      </c>
      <c r="E154">
        <v>0.15339938503587291</v>
      </c>
    </row>
    <row r="155" spans="1:5" x14ac:dyDescent="0.25">
      <c r="A155" t="s">
        <v>28</v>
      </c>
      <c r="B155" t="s">
        <v>16</v>
      </c>
      <c r="C155" t="s">
        <v>19</v>
      </c>
      <c r="D155" t="s">
        <v>23</v>
      </c>
      <c r="E155">
        <v>0.60592530092531927</v>
      </c>
    </row>
    <row r="156" spans="1:5" x14ac:dyDescent="0.25">
      <c r="A156" t="s">
        <v>28</v>
      </c>
      <c r="B156" t="s">
        <v>16</v>
      </c>
      <c r="C156" t="s">
        <v>4</v>
      </c>
      <c r="D156" t="s">
        <v>621</v>
      </c>
      <c r="E156">
        <v>0.63721054032472713</v>
      </c>
    </row>
    <row r="157" spans="1:5" x14ac:dyDescent="0.25">
      <c r="A157" t="s">
        <v>28</v>
      </c>
      <c r="B157" t="s">
        <v>16</v>
      </c>
      <c r="C157" t="s">
        <v>18</v>
      </c>
      <c r="D157" t="s">
        <v>621</v>
      </c>
      <c r="E157">
        <v>0.53643216080402012</v>
      </c>
    </row>
    <row r="158" spans="1:5" x14ac:dyDescent="0.25">
      <c r="A158" t="s">
        <v>28</v>
      </c>
      <c r="B158" t="s">
        <v>16</v>
      </c>
      <c r="C158" t="s">
        <v>5</v>
      </c>
      <c r="D158" t="s">
        <v>621</v>
      </c>
      <c r="E158">
        <v>0.69456781687734881</v>
      </c>
    </row>
    <row r="159" spans="1:5" x14ac:dyDescent="0.25">
      <c r="A159" t="s">
        <v>28</v>
      </c>
      <c r="B159" t="s">
        <v>16</v>
      </c>
      <c r="C159" t="s">
        <v>19</v>
      </c>
      <c r="D159" t="s">
        <v>621</v>
      </c>
      <c r="E159">
        <v>1.8682105180060959</v>
      </c>
    </row>
    <row r="160" spans="1:5" x14ac:dyDescent="0.25">
      <c r="A160" t="s">
        <v>28</v>
      </c>
      <c r="B160" t="s">
        <v>16</v>
      </c>
      <c r="C160" t="s">
        <v>4</v>
      </c>
      <c r="D160" t="s">
        <v>24</v>
      </c>
      <c r="E160">
        <v>885.89000000000021</v>
      </c>
    </row>
    <row r="161" spans="1:5" x14ac:dyDescent="0.25">
      <c r="A161" t="s">
        <v>28</v>
      </c>
      <c r="B161" t="s">
        <v>16</v>
      </c>
      <c r="C161" t="s">
        <v>18</v>
      </c>
      <c r="D161" t="s">
        <v>24</v>
      </c>
      <c r="E161">
        <v>82.240000000000009</v>
      </c>
    </row>
    <row r="162" spans="1:5" x14ac:dyDescent="0.25">
      <c r="A162" t="s">
        <v>28</v>
      </c>
      <c r="B162" t="s">
        <v>16</v>
      </c>
      <c r="C162" t="s">
        <v>5</v>
      </c>
      <c r="D162" t="s">
        <v>24</v>
      </c>
      <c r="E162">
        <v>322.0100000000001</v>
      </c>
    </row>
    <row r="163" spans="1:5" x14ac:dyDescent="0.25">
      <c r="A163" t="s">
        <v>28</v>
      </c>
      <c r="B163" t="s">
        <v>16</v>
      </c>
      <c r="C163" t="s">
        <v>19</v>
      </c>
      <c r="D163" t="s">
        <v>24</v>
      </c>
      <c r="E163">
        <v>1290.1400000000003</v>
      </c>
    </row>
    <row r="164" spans="1:5" x14ac:dyDescent="0.25">
      <c r="A164" t="s">
        <v>28</v>
      </c>
      <c r="B164" t="s">
        <v>16</v>
      </c>
      <c r="C164" t="s">
        <v>19</v>
      </c>
      <c r="D164" t="s">
        <v>45</v>
      </c>
      <c r="E164">
        <v>2188111</v>
      </c>
    </row>
    <row r="165" spans="1:5" x14ac:dyDescent="0.25">
      <c r="A165" t="s">
        <v>28</v>
      </c>
      <c r="B165" t="s">
        <v>16</v>
      </c>
      <c r="C165" t="s">
        <v>19</v>
      </c>
      <c r="D165" t="s">
        <v>46</v>
      </c>
      <c r="E165">
        <v>40568</v>
      </c>
    </row>
    <row r="166" spans="1:5" x14ac:dyDescent="0.25">
      <c r="A166" t="s">
        <v>47</v>
      </c>
      <c r="B166" t="s">
        <v>16</v>
      </c>
      <c r="C166" t="s">
        <v>4</v>
      </c>
      <c r="D166" t="s">
        <v>48</v>
      </c>
      <c r="E166">
        <v>129713.08333333328</v>
      </c>
    </row>
    <row r="167" spans="1:5" x14ac:dyDescent="0.25">
      <c r="A167" t="s">
        <v>47</v>
      </c>
      <c r="B167" t="s">
        <v>16</v>
      </c>
      <c r="C167" t="s">
        <v>5</v>
      </c>
      <c r="D167" t="s">
        <v>48</v>
      </c>
      <c r="E167">
        <v>53622.999999999927</v>
      </c>
    </row>
    <row r="168" spans="1:5" x14ac:dyDescent="0.25">
      <c r="A168" t="s">
        <v>47</v>
      </c>
      <c r="B168" t="s">
        <v>16</v>
      </c>
      <c r="C168" t="s">
        <v>19</v>
      </c>
      <c r="D168" t="s">
        <v>48</v>
      </c>
      <c r="E168">
        <v>183336.0833333332</v>
      </c>
    </row>
    <row r="169" spans="1:5" x14ac:dyDescent="0.25">
      <c r="A169" t="s">
        <v>47</v>
      </c>
      <c r="B169" t="s">
        <v>16</v>
      </c>
      <c r="C169" t="s">
        <v>4</v>
      </c>
      <c r="D169" t="s">
        <v>49</v>
      </c>
      <c r="E169">
        <v>501411.99999999721</v>
      </c>
    </row>
    <row r="170" spans="1:5" x14ac:dyDescent="0.25">
      <c r="A170" t="s">
        <v>47</v>
      </c>
      <c r="B170" t="s">
        <v>16</v>
      </c>
      <c r="C170" t="s">
        <v>18</v>
      </c>
      <c r="D170" t="s">
        <v>49</v>
      </c>
      <c r="E170">
        <v>41871.583333333379</v>
      </c>
    </row>
    <row r="171" spans="1:5" x14ac:dyDescent="0.25">
      <c r="A171" t="s">
        <v>47</v>
      </c>
      <c r="B171" t="s">
        <v>16</v>
      </c>
      <c r="C171" t="s">
        <v>5</v>
      </c>
      <c r="D171" t="s">
        <v>49</v>
      </c>
      <c r="E171">
        <v>235937.1666666664</v>
      </c>
    </row>
    <row r="172" spans="1:5" x14ac:dyDescent="0.25">
      <c r="A172" t="s">
        <v>47</v>
      </c>
      <c r="B172" t="s">
        <v>16</v>
      </c>
      <c r="C172" t="s">
        <v>19</v>
      </c>
      <c r="D172" t="s">
        <v>49</v>
      </c>
      <c r="E172">
        <v>779220.74999999697</v>
      </c>
    </row>
    <row r="173" spans="1:5" x14ac:dyDescent="0.25">
      <c r="A173" t="s">
        <v>47</v>
      </c>
      <c r="B173" t="s">
        <v>16</v>
      </c>
      <c r="C173" t="s">
        <v>4</v>
      </c>
      <c r="D173" t="s">
        <v>50</v>
      </c>
      <c r="E173">
        <v>1017.8333333333336</v>
      </c>
    </row>
    <row r="174" spans="1:5" x14ac:dyDescent="0.25">
      <c r="A174" t="s">
        <v>47</v>
      </c>
      <c r="B174" t="s">
        <v>16</v>
      </c>
      <c r="C174" t="s">
        <v>18</v>
      </c>
      <c r="D174" t="s">
        <v>50</v>
      </c>
      <c r="E174">
        <v>12629.666666666664</v>
      </c>
    </row>
    <row r="175" spans="1:5" x14ac:dyDescent="0.25">
      <c r="A175" t="s">
        <v>47</v>
      </c>
      <c r="B175" t="s">
        <v>16</v>
      </c>
      <c r="C175" t="s">
        <v>5</v>
      </c>
      <c r="D175" t="s">
        <v>50</v>
      </c>
      <c r="E175">
        <v>28119.833333333321</v>
      </c>
    </row>
    <row r="176" spans="1:5" x14ac:dyDescent="0.25">
      <c r="A176" t="s">
        <v>47</v>
      </c>
      <c r="B176" t="s">
        <v>16</v>
      </c>
      <c r="C176" t="s">
        <v>19</v>
      </c>
      <c r="D176" t="s">
        <v>50</v>
      </c>
      <c r="E176">
        <v>41767.333333333314</v>
      </c>
    </row>
    <row r="177" spans="1:5" x14ac:dyDescent="0.25">
      <c r="A177" t="s">
        <v>47</v>
      </c>
      <c r="B177" t="s">
        <v>16</v>
      </c>
      <c r="C177" t="s">
        <v>4</v>
      </c>
      <c r="D177" t="s">
        <v>6</v>
      </c>
      <c r="E177">
        <v>10496</v>
      </c>
    </row>
    <row r="178" spans="1:5" x14ac:dyDescent="0.25">
      <c r="A178" t="s">
        <v>47</v>
      </c>
      <c r="B178" t="s">
        <v>16</v>
      </c>
      <c r="C178" t="s">
        <v>18</v>
      </c>
      <c r="D178" t="s">
        <v>6</v>
      </c>
      <c r="E178">
        <v>237</v>
      </c>
    </row>
    <row r="179" spans="1:5" x14ac:dyDescent="0.25">
      <c r="A179" t="s">
        <v>47</v>
      </c>
      <c r="B179" t="s">
        <v>16</v>
      </c>
      <c r="C179" t="s">
        <v>5</v>
      </c>
      <c r="D179" t="s">
        <v>6</v>
      </c>
      <c r="E179">
        <v>2805</v>
      </c>
    </row>
    <row r="180" spans="1:5" x14ac:dyDescent="0.25">
      <c r="A180" t="s">
        <v>47</v>
      </c>
      <c r="B180" t="s">
        <v>16</v>
      </c>
      <c r="C180" t="s">
        <v>19</v>
      </c>
      <c r="D180" t="s">
        <v>6</v>
      </c>
      <c r="E180">
        <v>13538</v>
      </c>
    </row>
    <row r="181" spans="1:5" x14ac:dyDescent="0.25">
      <c r="A181" t="s">
        <v>47</v>
      </c>
      <c r="B181" t="s">
        <v>16</v>
      </c>
      <c r="C181" t="s">
        <v>4</v>
      </c>
      <c r="D181" t="s">
        <v>17</v>
      </c>
      <c r="E181">
        <v>245</v>
      </c>
    </row>
    <row r="182" spans="1:5" x14ac:dyDescent="0.25">
      <c r="A182" t="s">
        <v>47</v>
      </c>
      <c r="B182" t="s">
        <v>16</v>
      </c>
      <c r="C182" t="s">
        <v>18</v>
      </c>
      <c r="D182" t="s">
        <v>17</v>
      </c>
      <c r="E182">
        <v>16</v>
      </c>
    </row>
    <row r="183" spans="1:5" x14ac:dyDescent="0.25">
      <c r="A183" t="s">
        <v>47</v>
      </c>
      <c r="B183" t="s">
        <v>16</v>
      </c>
      <c r="C183" t="s">
        <v>5</v>
      </c>
      <c r="D183" t="s">
        <v>17</v>
      </c>
      <c r="E183">
        <v>31</v>
      </c>
    </row>
    <row r="184" spans="1:5" x14ac:dyDescent="0.25">
      <c r="A184" t="s">
        <v>47</v>
      </c>
      <c r="B184" t="s">
        <v>16</v>
      </c>
      <c r="C184" t="s">
        <v>19</v>
      </c>
      <c r="D184" t="s">
        <v>17</v>
      </c>
      <c r="E184">
        <v>292</v>
      </c>
    </row>
    <row r="185" spans="1:5" x14ac:dyDescent="0.25">
      <c r="A185" t="s">
        <v>47</v>
      </c>
      <c r="B185" t="s">
        <v>16</v>
      </c>
      <c r="C185" t="s">
        <v>4</v>
      </c>
      <c r="D185" t="s">
        <v>29</v>
      </c>
      <c r="E185" t="s">
        <v>51</v>
      </c>
    </row>
    <row r="186" spans="1:5" x14ac:dyDescent="0.25">
      <c r="A186" t="s">
        <v>47</v>
      </c>
      <c r="B186" t="s">
        <v>16</v>
      </c>
      <c r="C186" t="s">
        <v>4</v>
      </c>
      <c r="D186" t="s">
        <v>31</v>
      </c>
      <c r="E186" t="s">
        <v>52</v>
      </c>
    </row>
    <row r="187" spans="1:5" x14ac:dyDescent="0.25">
      <c r="A187" t="s">
        <v>47</v>
      </c>
      <c r="B187" t="s">
        <v>16</v>
      </c>
      <c r="C187" t="s">
        <v>5</v>
      </c>
      <c r="D187" t="s">
        <v>31</v>
      </c>
      <c r="E187" t="s">
        <v>33</v>
      </c>
    </row>
    <row r="188" spans="1:5" x14ac:dyDescent="0.25">
      <c r="A188" t="s">
        <v>47</v>
      </c>
      <c r="B188" t="s">
        <v>16</v>
      </c>
      <c r="C188" t="s">
        <v>4</v>
      </c>
      <c r="D188" t="s">
        <v>34</v>
      </c>
      <c r="E188" t="s">
        <v>35</v>
      </c>
    </row>
    <row r="189" spans="1:5" x14ac:dyDescent="0.25">
      <c r="A189" t="s">
        <v>47</v>
      </c>
      <c r="B189" t="s">
        <v>16</v>
      </c>
      <c r="C189" t="s">
        <v>18</v>
      </c>
      <c r="D189" t="s">
        <v>34</v>
      </c>
      <c r="E189" t="s">
        <v>53</v>
      </c>
    </row>
    <row r="190" spans="1:5" x14ac:dyDescent="0.25">
      <c r="A190" t="s">
        <v>47</v>
      </c>
      <c r="B190" t="s">
        <v>16</v>
      </c>
      <c r="C190" t="s">
        <v>5</v>
      </c>
      <c r="D190" t="s">
        <v>34</v>
      </c>
      <c r="E190" t="s">
        <v>54</v>
      </c>
    </row>
    <row r="191" spans="1:5" x14ac:dyDescent="0.25">
      <c r="A191" t="s">
        <v>47</v>
      </c>
      <c r="B191" t="s">
        <v>16</v>
      </c>
      <c r="C191" t="s">
        <v>4</v>
      </c>
      <c r="D191" t="s">
        <v>38</v>
      </c>
      <c r="E191" t="s">
        <v>55</v>
      </c>
    </row>
    <row r="192" spans="1:5" x14ac:dyDescent="0.25">
      <c r="A192" t="s">
        <v>47</v>
      </c>
      <c r="B192" t="s">
        <v>16</v>
      </c>
      <c r="C192" t="s">
        <v>18</v>
      </c>
      <c r="D192" t="s">
        <v>38</v>
      </c>
      <c r="E192" t="s">
        <v>56</v>
      </c>
    </row>
    <row r="193" spans="1:5" x14ac:dyDescent="0.25">
      <c r="A193" t="s">
        <v>47</v>
      </c>
      <c r="B193" t="s">
        <v>16</v>
      </c>
      <c r="C193" t="s">
        <v>5</v>
      </c>
      <c r="D193" t="s">
        <v>38</v>
      </c>
      <c r="E193" t="s">
        <v>57</v>
      </c>
    </row>
    <row r="194" spans="1:5" x14ac:dyDescent="0.25">
      <c r="A194" t="s">
        <v>47</v>
      </c>
      <c r="B194" t="s">
        <v>16</v>
      </c>
      <c r="C194" t="s">
        <v>4</v>
      </c>
      <c r="D194" t="s">
        <v>20</v>
      </c>
      <c r="E194">
        <v>10970</v>
      </c>
    </row>
    <row r="195" spans="1:5" x14ac:dyDescent="0.25">
      <c r="A195" t="s">
        <v>47</v>
      </c>
      <c r="B195" t="s">
        <v>16</v>
      </c>
      <c r="C195" t="s">
        <v>18</v>
      </c>
      <c r="D195" t="s">
        <v>20</v>
      </c>
      <c r="E195">
        <v>597</v>
      </c>
    </row>
    <row r="196" spans="1:5" x14ac:dyDescent="0.25">
      <c r="A196" t="s">
        <v>47</v>
      </c>
      <c r="B196" t="s">
        <v>16</v>
      </c>
      <c r="C196" t="s">
        <v>5</v>
      </c>
      <c r="D196" t="s">
        <v>20</v>
      </c>
      <c r="E196">
        <v>4368</v>
      </c>
    </row>
    <row r="197" spans="1:5" x14ac:dyDescent="0.25">
      <c r="A197" t="s">
        <v>47</v>
      </c>
      <c r="B197" t="s">
        <v>16</v>
      </c>
      <c r="C197" t="s">
        <v>19</v>
      </c>
      <c r="D197" t="s">
        <v>20</v>
      </c>
      <c r="E197">
        <v>15935</v>
      </c>
    </row>
    <row r="198" spans="1:5" x14ac:dyDescent="0.25">
      <c r="A198" t="s">
        <v>47</v>
      </c>
      <c r="B198" t="s">
        <v>16</v>
      </c>
      <c r="C198" t="s">
        <v>4</v>
      </c>
      <c r="D198" t="s">
        <v>42</v>
      </c>
      <c r="E198">
        <v>346</v>
      </c>
    </row>
    <row r="199" spans="1:5" x14ac:dyDescent="0.25">
      <c r="A199" t="s">
        <v>47</v>
      </c>
      <c r="B199" t="s">
        <v>16</v>
      </c>
      <c r="C199" t="s">
        <v>19</v>
      </c>
      <c r="D199" t="s">
        <v>42</v>
      </c>
      <c r="E199">
        <v>346</v>
      </c>
    </row>
    <row r="200" spans="1:5" x14ac:dyDescent="0.25">
      <c r="A200" t="s">
        <v>47</v>
      </c>
      <c r="B200" t="s">
        <v>16</v>
      </c>
      <c r="C200" t="s">
        <v>4</v>
      </c>
      <c r="D200" t="s">
        <v>43</v>
      </c>
      <c r="E200">
        <v>1923</v>
      </c>
    </row>
    <row r="201" spans="1:5" x14ac:dyDescent="0.25">
      <c r="A201" t="s">
        <v>47</v>
      </c>
      <c r="B201" t="s">
        <v>16</v>
      </c>
      <c r="C201" t="s">
        <v>5</v>
      </c>
      <c r="D201" t="s">
        <v>43</v>
      </c>
      <c r="E201">
        <v>790</v>
      </c>
    </row>
    <row r="202" spans="1:5" x14ac:dyDescent="0.25">
      <c r="A202" t="s">
        <v>47</v>
      </c>
      <c r="B202" t="s">
        <v>16</v>
      </c>
      <c r="C202" t="s">
        <v>19</v>
      </c>
      <c r="D202" t="s">
        <v>43</v>
      </c>
      <c r="E202">
        <v>2713</v>
      </c>
    </row>
    <row r="203" spans="1:5" x14ac:dyDescent="0.25">
      <c r="A203" t="s">
        <v>47</v>
      </c>
      <c r="B203" t="s">
        <v>16</v>
      </c>
      <c r="C203" t="s">
        <v>4</v>
      </c>
      <c r="D203" t="s">
        <v>44</v>
      </c>
      <c r="E203">
        <v>8701</v>
      </c>
    </row>
    <row r="204" spans="1:5" x14ac:dyDescent="0.25">
      <c r="A204" t="s">
        <v>47</v>
      </c>
      <c r="B204" t="s">
        <v>16</v>
      </c>
      <c r="C204" t="s">
        <v>18</v>
      </c>
      <c r="D204" t="s">
        <v>44</v>
      </c>
      <c r="E204">
        <v>597</v>
      </c>
    </row>
    <row r="205" spans="1:5" x14ac:dyDescent="0.25">
      <c r="A205" t="s">
        <v>47</v>
      </c>
      <c r="B205" t="s">
        <v>16</v>
      </c>
      <c r="C205" t="s">
        <v>5</v>
      </c>
      <c r="D205" t="s">
        <v>44</v>
      </c>
      <c r="E205">
        <v>3578</v>
      </c>
    </row>
    <row r="206" spans="1:5" x14ac:dyDescent="0.25">
      <c r="A206" t="s">
        <v>47</v>
      </c>
      <c r="B206" t="s">
        <v>16</v>
      </c>
      <c r="C206" t="s">
        <v>19</v>
      </c>
      <c r="D206" t="s">
        <v>44</v>
      </c>
      <c r="E206">
        <v>12876</v>
      </c>
    </row>
    <row r="207" spans="1:5" x14ac:dyDescent="0.25">
      <c r="A207" t="s">
        <v>47</v>
      </c>
      <c r="B207" t="s">
        <v>16</v>
      </c>
      <c r="C207" t="s">
        <v>4</v>
      </c>
      <c r="D207" t="s">
        <v>21</v>
      </c>
      <c r="E207">
        <v>0.93297777777777779</v>
      </c>
    </row>
    <row r="208" spans="1:5" x14ac:dyDescent="0.25">
      <c r="A208" t="s">
        <v>47</v>
      </c>
      <c r="B208" t="s">
        <v>16</v>
      </c>
      <c r="C208" t="s">
        <v>18</v>
      </c>
      <c r="D208" t="s">
        <v>21</v>
      </c>
      <c r="E208">
        <v>0.29962073324905181</v>
      </c>
    </row>
    <row r="209" spans="1:5" x14ac:dyDescent="0.25">
      <c r="A209" t="s">
        <v>47</v>
      </c>
      <c r="B209" t="s">
        <v>16</v>
      </c>
      <c r="C209" t="s">
        <v>5</v>
      </c>
      <c r="D209" t="s">
        <v>21</v>
      </c>
      <c r="E209">
        <v>0.95930232558139539</v>
      </c>
    </row>
    <row r="210" spans="1:5" x14ac:dyDescent="0.25">
      <c r="A210" t="s">
        <v>47</v>
      </c>
      <c r="B210" t="s">
        <v>16</v>
      </c>
      <c r="C210" t="s">
        <v>19</v>
      </c>
      <c r="D210" t="s">
        <v>21</v>
      </c>
      <c r="E210">
        <v>2.1919008366082249</v>
      </c>
    </row>
    <row r="211" spans="1:5" x14ac:dyDescent="0.25">
      <c r="A211" t="s">
        <v>47</v>
      </c>
      <c r="B211" t="s">
        <v>16</v>
      </c>
      <c r="C211" t="s">
        <v>4</v>
      </c>
      <c r="D211" t="s">
        <v>22</v>
      </c>
      <c r="E211">
        <v>0.19155555555555556</v>
      </c>
    </row>
    <row r="212" spans="1:5" x14ac:dyDescent="0.25">
      <c r="A212" t="s">
        <v>47</v>
      </c>
      <c r="B212" t="s">
        <v>16</v>
      </c>
      <c r="C212" t="s">
        <v>18</v>
      </c>
      <c r="D212" t="s">
        <v>22</v>
      </c>
      <c r="E212">
        <v>0.20859671302149177</v>
      </c>
    </row>
    <row r="213" spans="1:5" x14ac:dyDescent="0.25">
      <c r="A213" t="s">
        <v>47</v>
      </c>
      <c r="B213" t="s">
        <v>16</v>
      </c>
      <c r="C213" t="s">
        <v>5</v>
      </c>
      <c r="D213" t="s">
        <v>22</v>
      </c>
      <c r="E213">
        <v>0.19015047879616964</v>
      </c>
    </row>
    <row r="214" spans="1:5" x14ac:dyDescent="0.25">
      <c r="A214" t="s">
        <v>47</v>
      </c>
      <c r="B214" t="s">
        <v>16</v>
      </c>
      <c r="C214" t="s">
        <v>19</v>
      </c>
      <c r="D214" t="s">
        <v>22</v>
      </c>
      <c r="E214">
        <v>0.59030274737321697</v>
      </c>
    </row>
    <row r="215" spans="1:5" x14ac:dyDescent="0.25">
      <c r="A215" t="s">
        <v>47</v>
      </c>
      <c r="B215" t="s">
        <v>16</v>
      </c>
      <c r="C215" t="s">
        <v>4</v>
      </c>
      <c r="D215" t="s">
        <v>23</v>
      </c>
      <c r="E215">
        <v>0.17182222222222221</v>
      </c>
    </row>
    <row r="216" spans="1:5" x14ac:dyDescent="0.25">
      <c r="A216" t="s">
        <v>47</v>
      </c>
      <c r="B216" t="s">
        <v>16</v>
      </c>
      <c r="C216" t="s">
        <v>18</v>
      </c>
      <c r="D216" t="s">
        <v>23</v>
      </c>
      <c r="E216">
        <v>0.25663716814159293</v>
      </c>
    </row>
    <row r="217" spans="1:5" x14ac:dyDescent="0.25">
      <c r="A217" t="s">
        <v>47</v>
      </c>
      <c r="B217" t="s">
        <v>16</v>
      </c>
      <c r="C217" t="s">
        <v>5</v>
      </c>
      <c r="D217" t="s">
        <v>23</v>
      </c>
      <c r="E217">
        <v>0.14671682626538987</v>
      </c>
    </row>
    <row r="218" spans="1:5" x14ac:dyDescent="0.25">
      <c r="A218" t="s">
        <v>47</v>
      </c>
      <c r="B218" t="s">
        <v>16</v>
      </c>
      <c r="C218" t="s">
        <v>19</v>
      </c>
      <c r="D218" t="s">
        <v>23</v>
      </c>
      <c r="E218">
        <v>0.57517621662920504</v>
      </c>
    </row>
    <row r="219" spans="1:5" x14ac:dyDescent="0.25">
      <c r="A219" t="s">
        <v>47</v>
      </c>
      <c r="B219" t="s">
        <v>16</v>
      </c>
      <c r="C219" t="s">
        <v>4</v>
      </c>
      <c r="D219" t="s">
        <v>621</v>
      </c>
      <c r="E219">
        <v>0.6366222222222222</v>
      </c>
    </row>
    <row r="220" spans="1:5" x14ac:dyDescent="0.25">
      <c r="A220" t="s">
        <v>47</v>
      </c>
      <c r="B220" t="s">
        <v>16</v>
      </c>
      <c r="C220" t="s">
        <v>18</v>
      </c>
      <c r="D220" t="s">
        <v>621</v>
      </c>
      <c r="E220">
        <v>0.53476611883691527</v>
      </c>
    </row>
    <row r="221" spans="1:5" x14ac:dyDescent="0.25">
      <c r="A221" t="s">
        <v>47</v>
      </c>
      <c r="B221" t="s">
        <v>16</v>
      </c>
      <c r="C221" t="s">
        <v>5</v>
      </c>
      <c r="D221" t="s">
        <v>621</v>
      </c>
      <c r="E221">
        <v>0.66313269493844051</v>
      </c>
    </row>
    <row r="222" spans="1:5" x14ac:dyDescent="0.25">
      <c r="A222" t="s">
        <v>47</v>
      </c>
      <c r="B222" t="s">
        <v>16</v>
      </c>
      <c r="C222" t="s">
        <v>19</v>
      </c>
      <c r="D222" t="s">
        <v>621</v>
      </c>
      <c r="E222">
        <v>1.8345210359975781</v>
      </c>
    </row>
    <row r="223" spans="1:5" x14ac:dyDescent="0.25">
      <c r="A223" t="s">
        <v>47</v>
      </c>
      <c r="B223" t="s">
        <v>16</v>
      </c>
      <c r="C223" t="s">
        <v>4</v>
      </c>
      <c r="D223" t="s">
        <v>24</v>
      </c>
      <c r="E223">
        <v>786.2700000000001</v>
      </c>
    </row>
    <row r="224" spans="1:5" x14ac:dyDescent="0.25">
      <c r="A224" t="s">
        <v>47</v>
      </c>
      <c r="B224" t="s">
        <v>16</v>
      </c>
      <c r="C224" t="s">
        <v>18</v>
      </c>
      <c r="D224" t="s">
        <v>24</v>
      </c>
      <c r="E224">
        <v>80.34</v>
      </c>
    </row>
    <row r="225" spans="1:5" x14ac:dyDescent="0.25">
      <c r="A225" t="s">
        <v>47</v>
      </c>
      <c r="B225" t="s">
        <v>16</v>
      </c>
      <c r="C225" t="s">
        <v>5</v>
      </c>
      <c r="D225" t="s">
        <v>24</v>
      </c>
      <c r="E225">
        <v>319.95999999999992</v>
      </c>
    </row>
    <row r="226" spans="1:5" x14ac:dyDescent="0.25">
      <c r="A226" t="s">
        <v>47</v>
      </c>
      <c r="B226" t="s">
        <v>16</v>
      </c>
      <c r="C226" t="s">
        <v>19</v>
      </c>
      <c r="D226" t="s">
        <v>24</v>
      </c>
      <c r="E226">
        <v>1186.5700000000002</v>
      </c>
    </row>
    <row r="227" spans="1:5" x14ac:dyDescent="0.25">
      <c r="A227" t="s">
        <v>47</v>
      </c>
      <c r="B227" t="s">
        <v>16</v>
      </c>
      <c r="C227" t="s">
        <v>19</v>
      </c>
      <c r="D227" t="s">
        <v>45</v>
      </c>
      <c r="E227">
        <v>2202271</v>
      </c>
    </row>
    <row r="228" spans="1:5" x14ac:dyDescent="0.25">
      <c r="A228" t="s">
        <v>47</v>
      </c>
      <c r="B228" t="s">
        <v>16</v>
      </c>
      <c r="C228" t="s">
        <v>19</v>
      </c>
      <c r="D228" t="s">
        <v>46</v>
      </c>
      <c r="E228">
        <v>40537</v>
      </c>
    </row>
    <row r="229" spans="1:5" x14ac:dyDescent="0.25">
      <c r="A229" t="s">
        <v>58</v>
      </c>
      <c r="B229" t="s">
        <v>16</v>
      </c>
      <c r="C229" t="s">
        <v>4</v>
      </c>
      <c r="D229" t="s">
        <v>48</v>
      </c>
      <c r="E229">
        <v>115657</v>
      </c>
    </row>
    <row r="230" spans="1:5" x14ac:dyDescent="0.25">
      <c r="A230" t="s">
        <v>58</v>
      </c>
      <c r="B230" t="s">
        <v>16</v>
      </c>
      <c r="C230" t="s">
        <v>5</v>
      </c>
      <c r="D230" t="s">
        <v>48</v>
      </c>
      <c r="E230">
        <v>47979</v>
      </c>
    </row>
    <row r="231" spans="1:5" x14ac:dyDescent="0.25">
      <c r="A231" t="s">
        <v>58</v>
      </c>
      <c r="B231" t="s">
        <v>16</v>
      </c>
      <c r="C231" t="s">
        <v>19</v>
      </c>
      <c r="D231" t="s">
        <v>48</v>
      </c>
      <c r="E231">
        <v>163636</v>
      </c>
    </row>
    <row r="232" spans="1:5" x14ac:dyDescent="0.25">
      <c r="A232" t="s">
        <v>58</v>
      </c>
      <c r="B232" t="s">
        <v>16</v>
      </c>
      <c r="C232" t="s">
        <v>4</v>
      </c>
      <c r="D232" t="s">
        <v>49</v>
      </c>
      <c r="E232">
        <v>474556</v>
      </c>
    </row>
    <row r="233" spans="1:5" x14ac:dyDescent="0.25">
      <c r="A233" t="s">
        <v>58</v>
      </c>
      <c r="B233" t="s">
        <v>16</v>
      </c>
      <c r="C233" t="s">
        <v>18</v>
      </c>
      <c r="D233" t="s">
        <v>49</v>
      </c>
      <c r="E233">
        <v>36211</v>
      </c>
    </row>
    <row r="234" spans="1:5" x14ac:dyDescent="0.25">
      <c r="A234" t="s">
        <v>58</v>
      </c>
      <c r="B234" t="s">
        <v>16</v>
      </c>
      <c r="C234" t="s">
        <v>5</v>
      </c>
      <c r="D234" t="s">
        <v>49</v>
      </c>
      <c r="E234">
        <v>226839</v>
      </c>
    </row>
    <row r="235" spans="1:5" x14ac:dyDescent="0.25">
      <c r="A235" t="s">
        <v>58</v>
      </c>
      <c r="B235" t="s">
        <v>16</v>
      </c>
      <c r="C235" t="s">
        <v>19</v>
      </c>
      <c r="D235" t="s">
        <v>49</v>
      </c>
      <c r="E235">
        <v>737606</v>
      </c>
    </row>
    <row r="236" spans="1:5" x14ac:dyDescent="0.25">
      <c r="A236" t="s">
        <v>58</v>
      </c>
      <c r="B236" t="s">
        <v>16</v>
      </c>
      <c r="C236" t="s">
        <v>4</v>
      </c>
      <c r="D236" t="s">
        <v>50</v>
      </c>
      <c r="E236">
        <v>723</v>
      </c>
    </row>
    <row r="237" spans="1:5" x14ac:dyDescent="0.25">
      <c r="A237" t="s">
        <v>58</v>
      </c>
      <c r="B237" t="s">
        <v>16</v>
      </c>
      <c r="C237" t="s">
        <v>18</v>
      </c>
      <c r="D237" t="s">
        <v>50</v>
      </c>
      <c r="E237">
        <v>11791</v>
      </c>
    </row>
    <row r="238" spans="1:5" x14ac:dyDescent="0.25">
      <c r="A238" t="s">
        <v>58</v>
      </c>
      <c r="B238" t="s">
        <v>16</v>
      </c>
      <c r="C238" t="s">
        <v>5</v>
      </c>
      <c r="D238" t="s">
        <v>50</v>
      </c>
      <c r="E238">
        <v>27808</v>
      </c>
    </row>
    <row r="239" spans="1:5" x14ac:dyDescent="0.25">
      <c r="A239" t="s">
        <v>58</v>
      </c>
      <c r="B239" t="s">
        <v>16</v>
      </c>
      <c r="C239" t="s">
        <v>19</v>
      </c>
      <c r="D239" t="s">
        <v>50</v>
      </c>
      <c r="E239">
        <v>40322</v>
      </c>
    </row>
    <row r="240" spans="1:5" x14ac:dyDescent="0.25">
      <c r="A240" t="s">
        <v>58</v>
      </c>
      <c r="B240" t="s">
        <v>16</v>
      </c>
      <c r="C240" t="s">
        <v>18</v>
      </c>
      <c r="D240" t="s">
        <v>59</v>
      </c>
      <c r="E240" t="s">
        <v>60</v>
      </c>
    </row>
    <row r="241" spans="1:5" x14ac:dyDescent="0.25">
      <c r="A241" t="s">
        <v>58</v>
      </c>
      <c r="B241" t="s">
        <v>16</v>
      </c>
      <c r="C241" t="s">
        <v>4</v>
      </c>
      <c r="D241" t="s">
        <v>59</v>
      </c>
      <c r="E241" t="s">
        <v>61</v>
      </c>
    </row>
    <row r="242" spans="1:5" x14ac:dyDescent="0.25">
      <c r="A242" t="s">
        <v>58</v>
      </c>
      <c r="B242" t="s">
        <v>16</v>
      </c>
      <c r="C242" t="s">
        <v>5</v>
      </c>
      <c r="D242" t="s">
        <v>59</v>
      </c>
      <c r="E242" t="s">
        <v>62</v>
      </c>
    </row>
    <row r="243" spans="1:5" x14ac:dyDescent="0.25">
      <c r="A243" t="s">
        <v>58</v>
      </c>
      <c r="B243" t="s">
        <v>16</v>
      </c>
      <c r="C243" t="s">
        <v>4</v>
      </c>
      <c r="D243" t="s">
        <v>63</v>
      </c>
      <c r="E243" t="s">
        <v>64</v>
      </c>
    </row>
    <row r="244" spans="1:5" x14ac:dyDescent="0.25">
      <c r="A244" t="s">
        <v>58</v>
      </c>
      <c r="B244" t="s">
        <v>16</v>
      </c>
      <c r="C244" t="s">
        <v>18</v>
      </c>
      <c r="D244" t="s">
        <v>63</v>
      </c>
      <c r="E244" t="s">
        <v>65</v>
      </c>
    </row>
    <row r="245" spans="1:5" x14ac:dyDescent="0.25">
      <c r="A245" t="s">
        <v>58</v>
      </c>
      <c r="B245" t="s">
        <v>16</v>
      </c>
      <c r="C245" t="s">
        <v>5</v>
      </c>
      <c r="D245" t="s">
        <v>63</v>
      </c>
      <c r="E245" t="s">
        <v>66</v>
      </c>
    </row>
    <row r="246" spans="1:5" x14ac:dyDescent="0.25">
      <c r="A246" t="s">
        <v>58</v>
      </c>
      <c r="B246" t="s">
        <v>16</v>
      </c>
      <c r="C246" t="s">
        <v>4</v>
      </c>
      <c r="D246" t="s">
        <v>67</v>
      </c>
      <c r="E246" t="s">
        <v>68</v>
      </c>
    </row>
    <row r="247" spans="1:5" x14ac:dyDescent="0.25">
      <c r="A247" t="s">
        <v>58</v>
      </c>
      <c r="B247" t="s">
        <v>16</v>
      </c>
      <c r="C247" t="s">
        <v>18</v>
      </c>
      <c r="D247" t="s">
        <v>67</v>
      </c>
      <c r="E247" t="s">
        <v>69</v>
      </c>
    </row>
    <row r="248" spans="1:5" x14ac:dyDescent="0.25">
      <c r="A248" t="s">
        <v>58</v>
      </c>
      <c r="B248" t="s">
        <v>16</v>
      </c>
      <c r="C248" t="s">
        <v>5</v>
      </c>
      <c r="D248" t="s">
        <v>67</v>
      </c>
      <c r="E248" t="s">
        <v>70</v>
      </c>
    </row>
    <row r="249" spans="1:5" x14ac:dyDescent="0.25">
      <c r="A249" t="s">
        <v>58</v>
      </c>
      <c r="B249" t="s">
        <v>16</v>
      </c>
      <c r="C249" t="s">
        <v>4</v>
      </c>
      <c r="D249" t="s">
        <v>6</v>
      </c>
      <c r="E249">
        <v>10460</v>
      </c>
    </row>
    <row r="250" spans="1:5" x14ac:dyDescent="0.25">
      <c r="A250" t="s">
        <v>58</v>
      </c>
      <c r="B250" t="s">
        <v>16</v>
      </c>
      <c r="C250" t="s">
        <v>18</v>
      </c>
      <c r="D250" t="s">
        <v>6</v>
      </c>
      <c r="E250">
        <v>256</v>
      </c>
    </row>
    <row r="251" spans="1:5" x14ac:dyDescent="0.25">
      <c r="A251" t="s">
        <v>58</v>
      </c>
      <c r="B251" t="s">
        <v>16</v>
      </c>
      <c r="C251" t="s">
        <v>5</v>
      </c>
      <c r="D251" t="s">
        <v>6</v>
      </c>
      <c r="E251">
        <v>2776</v>
      </c>
    </row>
    <row r="252" spans="1:5" x14ac:dyDescent="0.25">
      <c r="A252" t="s">
        <v>58</v>
      </c>
      <c r="B252" t="s">
        <v>16</v>
      </c>
      <c r="C252" t="s">
        <v>19</v>
      </c>
      <c r="D252" t="s">
        <v>6</v>
      </c>
      <c r="E252">
        <v>13492</v>
      </c>
    </row>
    <row r="253" spans="1:5" x14ac:dyDescent="0.25">
      <c r="A253" t="s">
        <v>58</v>
      </c>
      <c r="B253" t="s">
        <v>16</v>
      </c>
      <c r="C253" t="s">
        <v>4</v>
      </c>
      <c r="D253" t="s">
        <v>17</v>
      </c>
      <c r="E253">
        <v>317</v>
      </c>
    </row>
    <row r="254" spans="1:5" x14ac:dyDescent="0.25">
      <c r="A254" t="s">
        <v>58</v>
      </c>
      <c r="B254" t="s">
        <v>16</v>
      </c>
      <c r="C254" t="s">
        <v>18</v>
      </c>
      <c r="D254" t="s">
        <v>17</v>
      </c>
      <c r="E254">
        <v>3</v>
      </c>
    </row>
    <row r="255" spans="1:5" x14ac:dyDescent="0.25">
      <c r="A255" t="s">
        <v>58</v>
      </c>
      <c r="B255" t="s">
        <v>16</v>
      </c>
      <c r="C255" t="s">
        <v>5</v>
      </c>
      <c r="D255" t="s">
        <v>17</v>
      </c>
      <c r="E255">
        <v>47</v>
      </c>
    </row>
    <row r="256" spans="1:5" x14ac:dyDescent="0.25">
      <c r="A256" t="s">
        <v>58</v>
      </c>
      <c r="B256" t="s">
        <v>16</v>
      </c>
      <c r="C256" t="s">
        <v>19</v>
      </c>
      <c r="D256" t="s">
        <v>17</v>
      </c>
      <c r="E256">
        <v>367</v>
      </c>
    </row>
    <row r="257" spans="1:5" x14ac:dyDescent="0.25">
      <c r="A257" t="s">
        <v>58</v>
      </c>
      <c r="B257" t="s">
        <v>16</v>
      </c>
      <c r="C257" t="s">
        <v>4</v>
      </c>
      <c r="D257" t="s">
        <v>29</v>
      </c>
      <c r="E257" t="s">
        <v>71</v>
      </c>
    </row>
    <row r="258" spans="1:5" x14ac:dyDescent="0.25">
      <c r="A258" t="s">
        <v>58</v>
      </c>
      <c r="B258" t="s">
        <v>16</v>
      </c>
      <c r="C258" t="s">
        <v>4</v>
      </c>
      <c r="D258" t="s">
        <v>31</v>
      </c>
      <c r="E258" t="s">
        <v>72</v>
      </c>
    </row>
    <row r="259" spans="1:5" x14ac:dyDescent="0.25">
      <c r="A259" t="s">
        <v>58</v>
      </c>
      <c r="B259" t="s">
        <v>16</v>
      </c>
      <c r="C259" t="s">
        <v>5</v>
      </c>
      <c r="D259" t="s">
        <v>31</v>
      </c>
      <c r="E259" t="s">
        <v>33</v>
      </c>
    </row>
    <row r="260" spans="1:5" x14ac:dyDescent="0.25">
      <c r="A260" t="s">
        <v>58</v>
      </c>
      <c r="B260" t="s">
        <v>16</v>
      </c>
      <c r="C260" t="s">
        <v>4</v>
      </c>
      <c r="D260" t="s">
        <v>34</v>
      </c>
      <c r="E260" t="s">
        <v>73</v>
      </c>
    </row>
    <row r="261" spans="1:5" x14ac:dyDescent="0.25">
      <c r="A261" t="s">
        <v>58</v>
      </c>
      <c r="B261" t="s">
        <v>16</v>
      </c>
      <c r="C261" t="s">
        <v>18</v>
      </c>
      <c r="D261" t="s">
        <v>34</v>
      </c>
      <c r="E261" t="s">
        <v>74</v>
      </c>
    </row>
    <row r="262" spans="1:5" x14ac:dyDescent="0.25">
      <c r="A262" t="s">
        <v>58</v>
      </c>
      <c r="B262" t="s">
        <v>16</v>
      </c>
      <c r="C262" t="s">
        <v>5</v>
      </c>
      <c r="D262" t="s">
        <v>34</v>
      </c>
      <c r="E262" t="s">
        <v>75</v>
      </c>
    </row>
    <row r="263" spans="1:5" x14ac:dyDescent="0.25">
      <c r="A263" t="s">
        <v>58</v>
      </c>
      <c r="B263" t="s">
        <v>16</v>
      </c>
      <c r="C263" t="s">
        <v>4</v>
      </c>
      <c r="D263" t="s">
        <v>38</v>
      </c>
      <c r="E263" t="s">
        <v>76</v>
      </c>
    </row>
    <row r="264" spans="1:5" x14ac:dyDescent="0.25">
      <c r="A264" t="s">
        <v>58</v>
      </c>
      <c r="B264" t="s">
        <v>16</v>
      </c>
      <c r="C264" t="s">
        <v>18</v>
      </c>
      <c r="D264" t="s">
        <v>38</v>
      </c>
      <c r="E264" t="s">
        <v>77</v>
      </c>
    </row>
    <row r="265" spans="1:5" x14ac:dyDescent="0.25">
      <c r="A265" t="s">
        <v>58</v>
      </c>
      <c r="B265" t="s">
        <v>16</v>
      </c>
      <c r="C265" t="s">
        <v>5</v>
      </c>
      <c r="D265" t="s">
        <v>38</v>
      </c>
      <c r="E265" t="s">
        <v>78</v>
      </c>
    </row>
    <row r="266" spans="1:5" x14ac:dyDescent="0.25">
      <c r="A266" t="s">
        <v>58</v>
      </c>
      <c r="B266" t="s">
        <v>16</v>
      </c>
      <c r="C266" t="s">
        <v>4</v>
      </c>
      <c r="D266" t="s">
        <v>79</v>
      </c>
      <c r="E266">
        <v>412807</v>
      </c>
    </row>
    <row r="267" spans="1:5" x14ac:dyDescent="0.25">
      <c r="A267" t="s">
        <v>58</v>
      </c>
      <c r="B267" t="s">
        <v>16</v>
      </c>
      <c r="C267" t="s">
        <v>18</v>
      </c>
      <c r="D267" t="s">
        <v>79</v>
      </c>
      <c r="E267">
        <v>32958</v>
      </c>
    </row>
    <row r="268" spans="1:5" x14ac:dyDescent="0.25">
      <c r="A268" t="s">
        <v>58</v>
      </c>
      <c r="B268" t="s">
        <v>16</v>
      </c>
      <c r="C268" t="s">
        <v>5</v>
      </c>
      <c r="D268" t="s">
        <v>79</v>
      </c>
      <c r="E268">
        <v>420246</v>
      </c>
    </row>
    <row r="269" spans="1:5" x14ac:dyDescent="0.25">
      <c r="A269" t="s">
        <v>58</v>
      </c>
      <c r="B269" t="s">
        <v>16</v>
      </c>
      <c r="C269" t="s">
        <v>19</v>
      </c>
      <c r="D269" t="s">
        <v>79</v>
      </c>
      <c r="E269">
        <v>866011</v>
      </c>
    </row>
    <row r="270" spans="1:5" x14ac:dyDescent="0.25">
      <c r="A270" t="s">
        <v>58</v>
      </c>
      <c r="B270" t="s">
        <v>16</v>
      </c>
      <c r="C270" t="s">
        <v>4</v>
      </c>
      <c r="D270" t="s">
        <v>20</v>
      </c>
      <c r="E270">
        <v>11153</v>
      </c>
    </row>
    <row r="271" spans="1:5" x14ac:dyDescent="0.25">
      <c r="A271" t="s">
        <v>58</v>
      </c>
      <c r="B271" t="s">
        <v>16</v>
      </c>
      <c r="C271" t="s">
        <v>18</v>
      </c>
      <c r="D271" t="s">
        <v>20</v>
      </c>
      <c r="E271">
        <v>500</v>
      </c>
    </row>
    <row r="272" spans="1:5" x14ac:dyDescent="0.25">
      <c r="A272" t="s">
        <v>58</v>
      </c>
      <c r="B272" t="s">
        <v>16</v>
      </c>
      <c r="C272" t="s">
        <v>5</v>
      </c>
      <c r="D272" t="s">
        <v>20</v>
      </c>
      <c r="E272">
        <v>3163</v>
      </c>
    </row>
    <row r="273" spans="1:5" x14ac:dyDescent="0.25">
      <c r="A273" t="s">
        <v>58</v>
      </c>
      <c r="B273" t="s">
        <v>16</v>
      </c>
      <c r="C273" t="s">
        <v>19</v>
      </c>
      <c r="D273" t="s">
        <v>20</v>
      </c>
      <c r="E273">
        <v>14816</v>
      </c>
    </row>
    <row r="274" spans="1:5" x14ac:dyDescent="0.25">
      <c r="A274" t="s">
        <v>58</v>
      </c>
      <c r="B274" t="s">
        <v>16</v>
      </c>
      <c r="C274" t="s">
        <v>4</v>
      </c>
      <c r="D274" t="s">
        <v>42</v>
      </c>
      <c r="E274">
        <v>315</v>
      </c>
    </row>
    <row r="275" spans="1:5" x14ac:dyDescent="0.25">
      <c r="A275" t="s">
        <v>58</v>
      </c>
      <c r="B275" t="s">
        <v>16</v>
      </c>
      <c r="C275" t="s">
        <v>19</v>
      </c>
      <c r="D275" t="s">
        <v>42</v>
      </c>
      <c r="E275">
        <v>315</v>
      </c>
    </row>
    <row r="276" spans="1:5" x14ac:dyDescent="0.25">
      <c r="A276" t="s">
        <v>58</v>
      </c>
      <c r="B276" t="s">
        <v>16</v>
      </c>
      <c r="C276" t="s">
        <v>4</v>
      </c>
      <c r="D276" t="s">
        <v>43</v>
      </c>
      <c r="E276">
        <v>2415</v>
      </c>
    </row>
    <row r="277" spans="1:5" x14ac:dyDescent="0.25">
      <c r="A277" t="s">
        <v>58</v>
      </c>
      <c r="B277" t="s">
        <v>16</v>
      </c>
      <c r="C277" t="s">
        <v>5</v>
      </c>
      <c r="D277" t="s">
        <v>43</v>
      </c>
      <c r="E277">
        <v>833</v>
      </c>
    </row>
    <row r="278" spans="1:5" x14ac:dyDescent="0.25">
      <c r="A278" t="s">
        <v>58</v>
      </c>
      <c r="B278" t="s">
        <v>16</v>
      </c>
      <c r="C278" t="s">
        <v>19</v>
      </c>
      <c r="D278" t="s">
        <v>43</v>
      </c>
      <c r="E278">
        <v>3248</v>
      </c>
    </row>
    <row r="279" spans="1:5" x14ac:dyDescent="0.25">
      <c r="A279" t="s">
        <v>58</v>
      </c>
      <c r="B279" t="s">
        <v>16</v>
      </c>
      <c r="C279" t="s">
        <v>4</v>
      </c>
      <c r="D279" t="s">
        <v>44</v>
      </c>
      <c r="E279">
        <v>8423</v>
      </c>
    </row>
    <row r="280" spans="1:5" x14ac:dyDescent="0.25">
      <c r="A280" t="s">
        <v>58</v>
      </c>
      <c r="B280" t="s">
        <v>16</v>
      </c>
      <c r="C280" t="s">
        <v>18</v>
      </c>
      <c r="D280" t="s">
        <v>44</v>
      </c>
      <c r="E280">
        <v>500</v>
      </c>
    </row>
    <row r="281" spans="1:5" x14ac:dyDescent="0.25">
      <c r="A281" t="s">
        <v>58</v>
      </c>
      <c r="B281" t="s">
        <v>16</v>
      </c>
      <c r="C281" t="s">
        <v>5</v>
      </c>
      <c r="D281" t="s">
        <v>44</v>
      </c>
      <c r="E281">
        <v>2330</v>
      </c>
    </row>
    <row r="282" spans="1:5" x14ac:dyDescent="0.25">
      <c r="A282" t="s">
        <v>58</v>
      </c>
      <c r="B282" t="s">
        <v>16</v>
      </c>
      <c r="C282" t="s">
        <v>19</v>
      </c>
      <c r="D282" t="s">
        <v>44</v>
      </c>
      <c r="E282">
        <v>11253</v>
      </c>
    </row>
    <row r="283" spans="1:5" x14ac:dyDescent="0.25">
      <c r="A283" t="s">
        <v>58</v>
      </c>
      <c r="B283" t="s">
        <v>16</v>
      </c>
      <c r="C283" t="s">
        <v>4</v>
      </c>
      <c r="D283" t="s">
        <v>21</v>
      </c>
      <c r="E283">
        <v>0.93585040708598011</v>
      </c>
    </row>
    <row r="284" spans="1:5" x14ac:dyDescent="0.25">
      <c r="A284" t="s">
        <v>58</v>
      </c>
      <c r="B284" t="s">
        <v>16</v>
      </c>
      <c r="C284" t="s">
        <v>18</v>
      </c>
      <c r="D284" t="s">
        <v>21</v>
      </c>
      <c r="E284">
        <v>0.31683168316831684</v>
      </c>
    </row>
    <row r="285" spans="1:5" x14ac:dyDescent="0.25">
      <c r="A285" t="s">
        <v>58</v>
      </c>
      <c r="B285" t="s">
        <v>16</v>
      </c>
      <c r="C285" t="s">
        <v>5</v>
      </c>
      <c r="D285" t="s">
        <v>21</v>
      </c>
      <c r="E285">
        <v>0.96022137668626772</v>
      </c>
    </row>
    <row r="286" spans="1:5" x14ac:dyDescent="0.25">
      <c r="A286" t="s">
        <v>58</v>
      </c>
      <c r="B286" t="s">
        <v>16</v>
      </c>
      <c r="C286" t="s">
        <v>19</v>
      </c>
      <c r="D286" t="s">
        <v>21</v>
      </c>
      <c r="E286">
        <v>2.2129034669405647</v>
      </c>
    </row>
    <row r="287" spans="1:5" x14ac:dyDescent="0.25">
      <c r="A287" t="s">
        <v>58</v>
      </c>
      <c r="B287" t="s">
        <v>16</v>
      </c>
      <c r="C287" t="s">
        <v>4</v>
      </c>
      <c r="D287" t="s">
        <v>22</v>
      </c>
      <c r="E287">
        <v>0.18600697861680235</v>
      </c>
    </row>
    <row r="288" spans="1:5" x14ac:dyDescent="0.25">
      <c r="A288" t="s">
        <v>58</v>
      </c>
      <c r="B288" t="s">
        <v>16</v>
      </c>
      <c r="C288" t="s">
        <v>18</v>
      </c>
      <c r="D288" t="s">
        <v>22</v>
      </c>
      <c r="E288">
        <v>0.18069306930693069</v>
      </c>
    </row>
    <row r="289" spans="1:5" x14ac:dyDescent="0.25">
      <c r="A289" t="s">
        <v>58</v>
      </c>
      <c r="B289" t="s">
        <v>16</v>
      </c>
      <c r="C289" t="s">
        <v>5</v>
      </c>
      <c r="D289" t="s">
        <v>22</v>
      </c>
      <c r="E289">
        <v>0.1304047042545832</v>
      </c>
    </row>
    <row r="290" spans="1:5" x14ac:dyDescent="0.25">
      <c r="A290" t="s">
        <v>58</v>
      </c>
      <c r="B290" t="s">
        <v>16</v>
      </c>
      <c r="C290" t="s">
        <v>19</v>
      </c>
      <c r="D290" t="s">
        <v>22</v>
      </c>
      <c r="E290">
        <v>0.49710475217831618</v>
      </c>
    </row>
    <row r="291" spans="1:5" x14ac:dyDescent="0.25">
      <c r="A291" t="s">
        <v>58</v>
      </c>
      <c r="B291" t="s">
        <v>16</v>
      </c>
      <c r="C291" t="s">
        <v>4</v>
      </c>
      <c r="D291" t="s">
        <v>23</v>
      </c>
      <c r="E291">
        <v>0.16238704482419253</v>
      </c>
    </row>
    <row r="292" spans="1:5" x14ac:dyDescent="0.25">
      <c r="A292" t="s">
        <v>58</v>
      </c>
      <c r="B292" t="s">
        <v>16</v>
      </c>
      <c r="C292" t="s">
        <v>18</v>
      </c>
      <c r="D292" t="s">
        <v>23</v>
      </c>
      <c r="E292">
        <v>0.30198019801980197</v>
      </c>
    </row>
    <row r="293" spans="1:5" x14ac:dyDescent="0.25">
      <c r="A293" t="s">
        <v>58</v>
      </c>
      <c r="B293" t="s">
        <v>16</v>
      </c>
      <c r="C293" t="s">
        <v>5</v>
      </c>
      <c r="D293" t="s">
        <v>23</v>
      </c>
      <c r="E293">
        <v>0.18436527153234175</v>
      </c>
    </row>
    <row r="294" spans="1:5" x14ac:dyDescent="0.25">
      <c r="A294" t="s">
        <v>58</v>
      </c>
      <c r="B294" t="s">
        <v>16</v>
      </c>
      <c r="C294" t="s">
        <v>19</v>
      </c>
      <c r="D294" t="s">
        <v>23</v>
      </c>
      <c r="E294">
        <v>0.64873251437633628</v>
      </c>
    </row>
    <row r="295" spans="1:5" x14ac:dyDescent="0.25">
      <c r="A295" t="s">
        <v>58</v>
      </c>
      <c r="B295" t="s">
        <v>16</v>
      </c>
      <c r="C295" t="s">
        <v>4</v>
      </c>
      <c r="D295" t="s">
        <v>621</v>
      </c>
      <c r="E295">
        <v>0.6516059765590051</v>
      </c>
    </row>
    <row r="296" spans="1:5" x14ac:dyDescent="0.25">
      <c r="A296" t="s">
        <v>58</v>
      </c>
      <c r="B296" t="s">
        <v>16</v>
      </c>
      <c r="C296" t="s">
        <v>18</v>
      </c>
      <c r="D296" t="s">
        <v>621</v>
      </c>
      <c r="E296">
        <v>0.51732673267326734</v>
      </c>
    </row>
    <row r="297" spans="1:5" x14ac:dyDescent="0.25">
      <c r="A297" t="s">
        <v>58</v>
      </c>
      <c r="B297" t="s">
        <v>16</v>
      </c>
      <c r="C297" t="s">
        <v>5</v>
      </c>
      <c r="D297" t="s">
        <v>621</v>
      </c>
      <c r="E297">
        <v>0.68523002421307511</v>
      </c>
    </row>
    <row r="298" spans="1:5" x14ac:dyDescent="0.25">
      <c r="A298" t="s">
        <v>58</v>
      </c>
      <c r="B298" t="s">
        <v>16</v>
      </c>
      <c r="C298" t="s">
        <v>19</v>
      </c>
      <c r="D298" t="s">
        <v>621</v>
      </c>
      <c r="E298">
        <v>1.8541627334453472</v>
      </c>
    </row>
    <row r="299" spans="1:5" x14ac:dyDescent="0.25">
      <c r="A299" t="s">
        <v>58</v>
      </c>
      <c r="B299" t="s">
        <v>16</v>
      </c>
      <c r="C299" t="s">
        <v>4</v>
      </c>
      <c r="D299" t="s">
        <v>24</v>
      </c>
      <c r="E299">
        <v>718.60000000000014</v>
      </c>
    </row>
    <row r="300" spans="1:5" x14ac:dyDescent="0.25">
      <c r="A300" t="s">
        <v>58</v>
      </c>
      <c r="B300" t="s">
        <v>16</v>
      </c>
      <c r="C300" t="s">
        <v>18</v>
      </c>
      <c r="D300" t="s">
        <v>24</v>
      </c>
      <c r="E300">
        <v>89.490000000000009</v>
      </c>
    </row>
    <row r="301" spans="1:5" x14ac:dyDescent="0.25">
      <c r="A301" t="s">
        <v>58</v>
      </c>
      <c r="B301" t="s">
        <v>16</v>
      </c>
      <c r="C301" t="s">
        <v>5</v>
      </c>
      <c r="D301" t="s">
        <v>24</v>
      </c>
      <c r="E301">
        <v>233.53999999999996</v>
      </c>
    </row>
    <row r="302" spans="1:5" x14ac:dyDescent="0.25">
      <c r="A302" t="s">
        <v>58</v>
      </c>
      <c r="B302" t="s">
        <v>16</v>
      </c>
      <c r="C302" t="s">
        <v>19</v>
      </c>
      <c r="D302" t="s">
        <v>24</v>
      </c>
      <c r="E302">
        <v>1041.6300000000001</v>
      </c>
    </row>
    <row r="303" spans="1:5" x14ac:dyDescent="0.25">
      <c r="A303" t="s">
        <v>58</v>
      </c>
      <c r="B303" t="s">
        <v>16</v>
      </c>
      <c r="C303" t="s">
        <v>19</v>
      </c>
      <c r="D303" t="s">
        <v>45</v>
      </c>
      <c r="E303">
        <v>2074943</v>
      </c>
    </row>
    <row r="304" spans="1:5" x14ac:dyDescent="0.25">
      <c r="A304" t="s">
        <v>58</v>
      </c>
      <c r="B304" t="s">
        <v>16</v>
      </c>
      <c r="C304" t="s">
        <v>19</v>
      </c>
      <c r="D304" t="s">
        <v>46</v>
      </c>
      <c r="E304">
        <v>39212</v>
      </c>
    </row>
    <row r="305" spans="1:5" x14ac:dyDescent="0.25">
      <c r="A305" t="s">
        <v>80</v>
      </c>
      <c r="B305" t="s">
        <v>16</v>
      </c>
      <c r="C305" t="s">
        <v>4</v>
      </c>
      <c r="D305" t="s">
        <v>48</v>
      </c>
      <c r="E305">
        <v>118701</v>
      </c>
    </row>
    <row r="306" spans="1:5" x14ac:dyDescent="0.25">
      <c r="A306" t="s">
        <v>80</v>
      </c>
      <c r="B306" t="s">
        <v>16</v>
      </c>
      <c r="C306" t="s">
        <v>5</v>
      </c>
      <c r="D306" t="s">
        <v>48</v>
      </c>
      <c r="E306">
        <v>48832</v>
      </c>
    </row>
    <row r="307" spans="1:5" x14ac:dyDescent="0.25">
      <c r="A307" t="s">
        <v>80</v>
      </c>
      <c r="B307" t="s">
        <v>16</v>
      </c>
      <c r="C307" t="s">
        <v>19</v>
      </c>
      <c r="D307" t="s">
        <v>48</v>
      </c>
      <c r="E307">
        <v>167533</v>
      </c>
    </row>
    <row r="308" spans="1:5" x14ac:dyDescent="0.25">
      <c r="A308" t="s">
        <v>80</v>
      </c>
      <c r="B308" t="s">
        <v>16</v>
      </c>
      <c r="C308" t="s">
        <v>4</v>
      </c>
      <c r="D308" t="s">
        <v>49</v>
      </c>
      <c r="E308">
        <v>493285</v>
      </c>
    </row>
    <row r="309" spans="1:5" x14ac:dyDescent="0.25">
      <c r="A309" t="s">
        <v>80</v>
      </c>
      <c r="B309" t="s">
        <v>16</v>
      </c>
      <c r="C309" t="s">
        <v>18</v>
      </c>
      <c r="D309" t="s">
        <v>49</v>
      </c>
      <c r="E309">
        <v>39154</v>
      </c>
    </row>
    <row r="310" spans="1:5" x14ac:dyDescent="0.25">
      <c r="A310" t="s">
        <v>80</v>
      </c>
      <c r="B310" t="s">
        <v>16</v>
      </c>
      <c r="C310" t="s">
        <v>5</v>
      </c>
      <c r="D310" t="s">
        <v>49</v>
      </c>
      <c r="E310">
        <v>233378</v>
      </c>
    </row>
    <row r="311" spans="1:5" x14ac:dyDescent="0.25">
      <c r="A311" t="s">
        <v>80</v>
      </c>
      <c r="B311" t="s">
        <v>16</v>
      </c>
      <c r="C311" t="s">
        <v>19</v>
      </c>
      <c r="D311" t="s">
        <v>49</v>
      </c>
      <c r="E311">
        <v>765817</v>
      </c>
    </row>
    <row r="312" spans="1:5" x14ac:dyDescent="0.25">
      <c r="A312" t="s">
        <v>80</v>
      </c>
      <c r="B312" t="s">
        <v>16</v>
      </c>
      <c r="C312" t="s">
        <v>4</v>
      </c>
      <c r="D312" t="s">
        <v>50</v>
      </c>
      <c r="E312">
        <v>776</v>
      </c>
    </row>
    <row r="313" spans="1:5" x14ac:dyDescent="0.25">
      <c r="A313" t="s">
        <v>80</v>
      </c>
      <c r="B313" t="s">
        <v>16</v>
      </c>
      <c r="C313" t="s">
        <v>18</v>
      </c>
      <c r="D313" t="s">
        <v>50</v>
      </c>
      <c r="E313">
        <v>13328</v>
      </c>
    </row>
    <row r="314" spans="1:5" x14ac:dyDescent="0.25">
      <c r="A314" t="s">
        <v>80</v>
      </c>
      <c r="B314" t="s">
        <v>16</v>
      </c>
      <c r="C314" t="s">
        <v>5</v>
      </c>
      <c r="D314" t="s">
        <v>50</v>
      </c>
      <c r="E314">
        <v>29646</v>
      </c>
    </row>
    <row r="315" spans="1:5" x14ac:dyDescent="0.25">
      <c r="A315" t="s">
        <v>80</v>
      </c>
      <c r="B315" t="s">
        <v>16</v>
      </c>
      <c r="C315" t="s">
        <v>19</v>
      </c>
      <c r="D315" t="s">
        <v>50</v>
      </c>
      <c r="E315">
        <v>43750</v>
      </c>
    </row>
    <row r="316" spans="1:5" x14ac:dyDescent="0.25">
      <c r="A316" t="s">
        <v>80</v>
      </c>
      <c r="B316" t="s">
        <v>16</v>
      </c>
      <c r="C316" t="s">
        <v>18</v>
      </c>
      <c r="D316" t="s">
        <v>59</v>
      </c>
      <c r="E316" t="s">
        <v>81</v>
      </c>
    </row>
    <row r="317" spans="1:5" x14ac:dyDescent="0.25">
      <c r="A317" t="s">
        <v>80</v>
      </c>
      <c r="B317" t="s">
        <v>16</v>
      </c>
      <c r="C317" t="s">
        <v>4</v>
      </c>
      <c r="D317" t="s">
        <v>59</v>
      </c>
      <c r="E317" t="s">
        <v>82</v>
      </c>
    </row>
    <row r="318" spans="1:5" x14ac:dyDescent="0.25">
      <c r="A318" t="s">
        <v>80</v>
      </c>
      <c r="B318" t="s">
        <v>16</v>
      </c>
      <c r="C318" t="s">
        <v>5</v>
      </c>
      <c r="D318" t="s">
        <v>59</v>
      </c>
      <c r="E318" t="s">
        <v>83</v>
      </c>
    </row>
    <row r="319" spans="1:5" x14ac:dyDescent="0.25">
      <c r="A319" t="s">
        <v>80</v>
      </c>
      <c r="B319" t="s">
        <v>16</v>
      </c>
      <c r="C319" t="s">
        <v>4</v>
      </c>
      <c r="D319" t="s">
        <v>63</v>
      </c>
      <c r="E319" t="s">
        <v>84</v>
      </c>
    </row>
    <row r="320" spans="1:5" x14ac:dyDescent="0.25">
      <c r="A320" t="s">
        <v>80</v>
      </c>
      <c r="B320" t="s">
        <v>16</v>
      </c>
      <c r="C320" t="s">
        <v>18</v>
      </c>
      <c r="D320" t="s">
        <v>63</v>
      </c>
      <c r="E320" t="s">
        <v>85</v>
      </c>
    </row>
    <row r="321" spans="1:5" x14ac:dyDescent="0.25">
      <c r="A321" t="s">
        <v>80</v>
      </c>
      <c r="B321" t="s">
        <v>16</v>
      </c>
      <c r="C321" t="s">
        <v>5</v>
      </c>
      <c r="D321" t="s">
        <v>63</v>
      </c>
      <c r="E321" t="s">
        <v>86</v>
      </c>
    </row>
    <row r="322" spans="1:5" x14ac:dyDescent="0.25">
      <c r="A322" t="s">
        <v>80</v>
      </c>
      <c r="B322" t="s">
        <v>16</v>
      </c>
      <c r="C322" t="s">
        <v>4</v>
      </c>
      <c r="D322" t="s">
        <v>67</v>
      </c>
      <c r="E322" t="s">
        <v>87</v>
      </c>
    </row>
    <row r="323" spans="1:5" x14ac:dyDescent="0.25">
      <c r="A323" t="s">
        <v>80</v>
      </c>
      <c r="B323" t="s">
        <v>16</v>
      </c>
      <c r="C323" t="s">
        <v>18</v>
      </c>
      <c r="D323" t="s">
        <v>67</v>
      </c>
      <c r="E323" t="s">
        <v>88</v>
      </c>
    </row>
    <row r="324" spans="1:5" x14ac:dyDescent="0.25">
      <c r="A324" t="s">
        <v>80</v>
      </c>
      <c r="B324" t="s">
        <v>16</v>
      </c>
      <c r="C324" t="s">
        <v>5</v>
      </c>
      <c r="D324" t="s">
        <v>67</v>
      </c>
      <c r="E324" t="s">
        <v>89</v>
      </c>
    </row>
    <row r="325" spans="1:5" x14ac:dyDescent="0.25">
      <c r="A325" t="s">
        <v>80</v>
      </c>
      <c r="B325" t="s">
        <v>16</v>
      </c>
      <c r="C325" t="s">
        <v>4</v>
      </c>
      <c r="D325" t="s">
        <v>6</v>
      </c>
      <c r="E325">
        <v>10419</v>
      </c>
    </row>
    <row r="326" spans="1:5" x14ac:dyDescent="0.25">
      <c r="A326" t="s">
        <v>80</v>
      </c>
      <c r="B326" t="s">
        <v>16</v>
      </c>
      <c r="C326" t="s">
        <v>18</v>
      </c>
      <c r="D326" t="s">
        <v>6</v>
      </c>
      <c r="E326">
        <v>266</v>
      </c>
    </row>
    <row r="327" spans="1:5" x14ac:dyDescent="0.25">
      <c r="A327" t="s">
        <v>80</v>
      </c>
      <c r="B327" t="s">
        <v>16</v>
      </c>
      <c r="C327" t="s">
        <v>5</v>
      </c>
      <c r="D327" t="s">
        <v>6</v>
      </c>
      <c r="E327">
        <v>2732</v>
      </c>
    </row>
    <row r="328" spans="1:5" x14ac:dyDescent="0.25">
      <c r="A328" t="s">
        <v>80</v>
      </c>
      <c r="B328" t="s">
        <v>16</v>
      </c>
      <c r="C328" t="s">
        <v>19</v>
      </c>
      <c r="D328" t="s">
        <v>6</v>
      </c>
      <c r="E328">
        <v>13417</v>
      </c>
    </row>
    <row r="329" spans="1:5" x14ac:dyDescent="0.25">
      <c r="A329" t="s">
        <v>80</v>
      </c>
      <c r="B329" t="s">
        <v>16</v>
      </c>
      <c r="C329" t="s">
        <v>4</v>
      </c>
      <c r="D329" t="s">
        <v>17</v>
      </c>
      <c r="E329">
        <v>622</v>
      </c>
    </row>
    <row r="330" spans="1:5" x14ac:dyDescent="0.25">
      <c r="A330" t="s">
        <v>80</v>
      </c>
      <c r="B330" t="s">
        <v>16</v>
      </c>
      <c r="C330" t="s">
        <v>18</v>
      </c>
      <c r="D330" t="s">
        <v>17</v>
      </c>
      <c r="E330">
        <v>4</v>
      </c>
    </row>
    <row r="331" spans="1:5" x14ac:dyDescent="0.25">
      <c r="A331" t="s">
        <v>80</v>
      </c>
      <c r="B331" t="s">
        <v>16</v>
      </c>
      <c r="C331" t="s">
        <v>5</v>
      </c>
      <c r="D331" t="s">
        <v>17</v>
      </c>
      <c r="E331">
        <v>0</v>
      </c>
    </row>
    <row r="332" spans="1:5" x14ac:dyDescent="0.25">
      <c r="A332" t="s">
        <v>80</v>
      </c>
      <c r="B332" t="s">
        <v>16</v>
      </c>
      <c r="C332" t="s">
        <v>19</v>
      </c>
      <c r="D332" t="s">
        <v>17</v>
      </c>
      <c r="E332">
        <v>626</v>
      </c>
    </row>
    <row r="333" spans="1:5" x14ac:dyDescent="0.25">
      <c r="A333" t="s">
        <v>80</v>
      </c>
      <c r="B333" t="s">
        <v>16</v>
      </c>
      <c r="C333" t="s">
        <v>4</v>
      </c>
      <c r="D333" t="s">
        <v>29</v>
      </c>
      <c r="E333" t="s">
        <v>90</v>
      </c>
    </row>
    <row r="334" spans="1:5" x14ac:dyDescent="0.25">
      <c r="A334" t="s">
        <v>80</v>
      </c>
      <c r="B334" t="s">
        <v>16</v>
      </c>
      <c r="C334" t="s">
        <v>4</v>
      </c>
      <c r="D334" t="s">
        <v>31</v>
      </c>
      <c r="E334" t="s">
        <v>91</v>
      </c>
    </row>
    <row r="335" spans="1:5" x14ac:dyDescent="0.25">
      <c r="A335" t="s">
        <v>80</v>
      </c>
      <c r="B335" t="s">
        <v>16</v>
      </c>
      <c r="C335" t="s">
        <v>5</v>
      </c>
      <c r="D335" t="s">
        <v>31</v>
      </c>
      <c r="E335" t="s">
        <v>33</v>
      </c>
    </row>
    <row r="336" spans="1:5" x14ac:dyDescent="0.25">
      <c r="A336" t="s">
        <v>80</v>
      </c>
      <c r="B336" t="s">
        <v>16</v>
      </c>
      <c r="C336" t="s">
        <v>4</v>
      </c>
      <c r="D336" t="s">
        <v>34</v>
      </c>
      <c r="E336" t="s">
        <v>92</v>
      </c>
    </row>
    <row r="337" spans="1:5" x14ac:dyDescent="0.25">
      <c r="A337" t="s">
        <v>80</v>
      </c>
      <c r="B337" t="s">
        <v>16</v>
      </c>
      <c r="C337" t="s">
        <v>18</v>
      </c>
      <c r="D337" t="s">
        <v>34</v>
      </c>
      <c r="E337" t="s">
        <v>74</v>
      </c>
    </row>
    <row r="338" spans="1:5" x14ac:dyDescent="0.25">
      <c r="A338" t="s">
        <v>80</v>
      </c>
      <c r="B338" t="s">
        <v>16</v>
      </c>
      <c r="C338" t="s">
        <v>5</v>
      </c>
      <c r="D338" t="s">
        <v>34</v>
      </c>
      <c r="E338" t="s">
        <v>93</v>
      </c>
    </row>
    <row r="339" spans="1:5" x14ac:dyDescent="0.25">
      <c r="A339" t="s">
        <v>80</v>
      </c>
      <c r="B339" t="s">
        <v>16</v>
      </c>
      <c r="C339" t="s">
        <v>4</v>
      </c>
      <c r="D339" t="s">
        <v>38</v>
      </c>
      <c r="E339" t="s">
        <v>94</v>
      </c>
    </row>
    <row r="340" spans="1:5" x14ac:dyDescent="0.25">
      <c r="A340" t="s">
        <v>80</v>
      </c>
      <c r="B340" t="s">
        <v>16</v>
      </c>
      <c r="C340" t="s">
        <v>18</v>
      </c>
      <c r="D340" t="s">
        <v>38</v>
      </c>
      <c r="E340" t="s">
        <v>95</v>
      </c>
    </row>
    <row r="341" spans="1:5" x14ac:dyDescent="0.25">
      <c r="A341" t="s">
        <v>80</v>
      </c>
      <c r="B341" t="s">
        <v>16</v>
      </c>
      <c r="C341" t="s">
        <v>5</v>
      </c>
      <c r="D341" t="s">
        <v>38</v>
      </c>
      <c r="E341" t="s">
        <v>96</v>
      </c>
    </row>
    <row r="342" spans="1:5" x14ac:dyDescent="0.25">
      <c r="A342" t="s">
        <v>80</v>
      </c>
      <c r="B342" t="s">
        <v>16</v>
      </c>
      <c r="C342" t="s">
        <v>4</v>
      </c>
      <c r="D342" t="s">
        <v>79</v>
      </c>
      <c r="E342">
        <v>400659</v>
      </c>
    </row>
    <row r="343" spans="1:5" x14ac:dyDescent="0.25">
      <c r="A343" t="s">
        <v>80</v>
      </c>
      <c r="B343" t="s">
        <v>16</v>
      </c>
      <c r="C343" t="s">
        <v>18</v>
      </c>
      <c r="D343" t="s">
        <v>79</v>
      </c>
      <c r="E343">
        <v>34588</v>
      </c>
    </row>
    <row r="344" spans="1:5" x14ac:dyDescent="0.25">
      <c r="A344" t="s">
        <v>80</v>
      </c>
      <c r="B344" t="s">
        <v>16</v>
      </c>
      <c r="C344" t="s">
        <v>5</v>
      </c>
      <c r="D344" t="s">
        <v>79</v>
      </c>
      <c r="E344">
        <v>409459</v>
      </c>
    </row>
    <row r="345" spans="1:5" x14ac:dyDescent="0.25">
      <c r="A345" t="s">
        <v>80</v>
      </c>
      <c r="B345" t="s">
        <v>16</v>
      </c>
      <c r="C345" t="s">
        <v>19</v>
      </c>
      <c r="D345" t="s">
        <v>79</v>
      </c>
      <c r="E345">
        <v>844706</v>
      </c>
    </row>
    <row r="346" spans="1:5" x14ac:dyDescent="0.25">
      <c r="A346" t="s">
        <v>80</v>
      </c>
      <c r="B346" t="s">
        <v>16</v>
      </c>
      <c r="C346" t="s">
        <v>4</v>
      </c>
      <c r="D346" t="s">
        <v>20</v>
      </c>
      <c r="E346">
        <v>10192</v>
      </c>
    </row>
    <row r="347" spans="1:5" x14ac:dyDescent="0.25">
      <c r="A347" t="s">
        <v>80</v>
      </c>
      <c r="B347" t="s">
        <v>16</v>
      </c>
      <c r="C347" t="s">
        <v>18</v>
      </c>
      <c r="D347" t="s">
        <v>20</v>
      </c>
      <c r="E347">
        <v>533</v>
      </c>
    </row>
    <row r="348" spans="1:5" x14ac:dyDescent="0.25">
      <c r="A348" t="s">
        <v>80</v>
      </c>
      <c r="B348" t="s">
        <v>16</v>
      </c>
      <c r="C348" t="s">
        <v>5</v>
      </c>
      <c r="D348" t="s">
        <v>20</v>
      </c>
      <c r="E348">
        <v>3274</v>
      </c>
    </row>
    <row r="349" spans="1:5" x14ac:dyDescent="0.25">
      <c r="A349" t="s">
        <v>80</v>
      </c>
      <c r="B349" t="s">
        <v>16</v>
      </c>
      <c r="C349" t="s">
        <v>19</v>
      </c>
      <c r="D349" t="s">
        <v>20</v>
      </c>
      <c r="E349">
        <v>13999</v>
      </c>
    </row>
    <row r="350" spans="1:5" x14ac:dyDescent="0.25">
      <c r="A350" t="s">
        <v>80</v>
      </c>
      <c r="B350" t="s">
        <v>16</v>
      </c>
      <c r="C350" t="s">
        <v>4</v>
      </c>
      <c r="D350" t="s">
        <v>42</v>
      </c>
      <c r="E350">
        <v>256</v>
      </c>
    </row>
    <row r="351" spans="1:5" x14ac:dyDescent="0.25">
      <c r="A351" t="s">
        <v>80</v>
      </c>
      <c r="B351" t="s">
        <v>16</v>
      </c>
      <c r="C351" t="s">
        <v>19</v>
      </c>
      <c r="D351" t="s">
        <v>42</v>
      </c>
      <c r="E351">
        <v>256</v>
      </c>
    </row>
    <row r="352" spans="1:5" x14ac:dyDescent="0.25">
      <c r="A352" t="s">
        <v>80</v>
      </c>
      <c r="B352" t="s">
        <v>16</v>
      </c>
      <c r="C352" t="s">
        <v>4</v>
      </c>
      <c r="D352" t="s">
        <v>43</v>
      </c>
      <c r="E352">
        <v>2353</v>
      </c>
    </row>
    <row r="353" spans="1:5" x14ac:dyDescent="0.25">
      <c r="A353" t="s">
        <v>80</v>
      </c>
      <c r="B353" t="s">
        <v>16</v>
      </c>
      <c r="C353" t="s">
        <v>5</v>
      </c>
      <c r="D353" t="s">
        <v>43</v>
      </c>
      <c r="E353">
        <v>810</v>
      </c>
    </row>
    <row r="354" spans="1:5" x14ac:dyDescent="0.25">
      <c r="A354" t="s">
        <v>80</v>
      </c>
      <c r="B354" t="s">
        <v>16</v>
      </c>
      <c r="C354" t="s">
        <v>19</v>
      </c>
      <c r="D354" t="s">
        <v>43</v>
      </c>
      <c r="E354">
        <v>3163</v>
      </c>
    </row>
    <row r="355" spans="1:5" x14ac:dyDescent="0.25">
      <c r="A355" t="s">
        <v>80</v>
      </c>
      <c r="B355" t="s">
        <v>16</v>
      </c>
      <c r="C355" t="s">
        <v>4</v>
      </c>
      <c r="D355" t="s">
        <v>44</v>
      </c>
      <c r="E355">
        <v>7583</v>
      </c>
    </row>
    <row r="356" spans="1:5" x14ac:dyDescent="0.25">
      <c r="A356" t="s">
        <v>80</v>
      </c>
      <c r="B356" t="s">
        <v>16</v>
      </c>
      <c r="C356" t="s">
        <v>18</v>
      </c>
      <c r="D356" t="s">
        <v>44</v>
      </c>
      <c r="E356">
        <v>533</v>
      </c>
    </row>
    <row r="357" spans="1:5" x14ac:dyDescent="0.25">
      <c r="A357" t="s">
        <v>80</v>
      </c>
      <c r="B357" t="s">
        <v>16</v>
      </c>
      <c r="C357" t="s">
        <v>5</v>
      </c>
      <c r="D357" t="s">
        <v>44</v>
      </c>
      <c r="E357">
        <v>2464</v>
      </c>
    </row>
    <row r="358" spans="1:5" x14ac:dyDescent="0.25">
      <c r="A358" t="s">
        <v>80</v>
      </c>
      <c r="B358" t="s">
        <v>16</v>
      </c>
      <c r="C358" t="s">
        <v>19</v>
      </c>
      <c r="D358" t="s">
        <v>44</v>
      </c>
      <c r="E358">
        <v>10580</v>
      </c>
    </row>
    <row r="359" spans="1:5" x14ac:dyDescent="0.25">
      <c r="A359" t="s">
        <v>80</v>
      </c>
      <c r="B359" t="s">
        <v>16</v>
      </c>
      <c r="C359" t="s">
        <v>4</v>
      </c>
      <c r="D359" t="s">
        <v>21</v>
      </c>
      <c r="E359">
        <v>0.94460562103354484</v>
      </c>
    </row>
    <row r="360" spans="1:5" x14ac:dyDescent="0.25">
      <c r="A360" t="s">
        <v>80</v>
      </c>
      <c r="B360" t="s">
        <v>16</v>
      </c>
      <c r="C360" t="s">
        <v>18</v>
      </c>
      <c r="D360" t="s">
        <v>21</v>
      </c>
      <c r="E360">
        <v>0.33417085427135679</v>
      </c>
    </row>
    <row r="361" spans="1:5" x14ac:dyDescent="0.25">
      <c r="A361" t="s">
        <v>80</v>
      </c>
      <c r="B361" t="s">
        <v>16</v>
      </c>
      <c r="C361" t="s">
        <v>5</v>
      </c>
      <c r="D361" t="s">
        <v>21</v>
      </c>
      <c r="E361">
        <v>0.96095673584242003</v>
      </c>
    </row>
    <row r="362" spans="1:5" x14ac:dyDescent="0.25">
      <c r="A362" t="s">
        <v>80</v>
      </c>
      <c r="B362" t="s">
        <v>16</v>
      </c>
      <c r="C362" t="s">
        <v>19</v>
      </c>
      <c r="D362" t="s">
        <v>21</v>
      </c>
      <c r="E362">
        <v>2.2397332111473216</v>
      </c>
    </row>
    <row r="363" spans="1:5" x14ac:dyDescent="0.25">
      <c r="A363" t="s">
        <v>80</v>
      </c>
      <c r="B363" t="s">
        <v>16</v>
      </c>
      <c r="C363" t="s">
        <v>4</v>
      </c>
      <c r="D363" t="s">
        <v>22</v>
      </c>
      <c r="E363">
        <v>0.12873980054397099</v>
      </c>
    </row>
    <row r="364" spans="1:5" x14ac:dyDescent="0.25">
      <c r="A364" t="s">
        <v>80</v>
      </c>
      <c r="B364" t="s">
        <v>16</v>
      </c>
      <c r="C364" t="s">
        <v>18</v>
      </c>
      <c r="D364" t="s">
        <v>22</v>
      </c>
      <c r="E364">
        <v>0.17085427135678391</v>
      </c>
    </row>
    <row r="365" spans="1:5" x14ac:dyDescent="0.25">
      <c r="A365" t="s">
        <v>80</v>
      </c>
      <c r="B365" t="s">
        <v>16</v>
      </c>
      <c r="C365" t="s">
        <v>5</v>
      </c>
      <c r="D365" t="s">
        <v>22</v>
      </c>
      <c r="E365">
        <v>0.13084769609567359</v>
      </c>
    </row>
    <row r="366" spans="1:5" x14ac:dyDescent="0.25">
      <c r="A366" t="s">
        <v>80</v>
      </c>
      <c r="B366" t="s">
        <v>16</v>
      </c>
      <c r="C366" t="s">
        <v>19</v>
      </c>
      <c r="D366" t="s">
        <v>22</v>
      </c>
      <c r="E366">
        <v>0.43044176799642858</v>
      </c>
    </row>
    <row r="367" spans="1:5" x14ac:dyDescent="0.25">
      <c r="A367" t="s">
        <v>80</v>
      </c>
      <c r="B367" t="s">
        <v>16</v>
      </c>
      <c r="C367" t="s">
        <v>4</v>
      </c>
      <c r="D367" t="s">
        <v>23</v>
      </c>
      <c r="E367">
        <v>0.16618313689936537</v>
      </c>
    </row>
    <row r="368" spans="1:5" x14ac:dyDescent="0.25">
      <c r="A368" t="s">
        <v>80</v>
      </c>
      <c r="B368" t="s">
        <v>16</v>
      </c>
      <c r="C368" t="s">
        <v>18</v>
      </c>
      <c r="D368" t="s">
        <v>23</v>
      </c>
      <c r="E368">
        <v>0.30402010050251255</v>
      </c>
    </row>
    <row r="369" spans="1:5" x14ac:dyDescent="0.25">
      <c r="A369" t="s">
        <v>80</v>
      </c>
      <c r="B369" t="s">
        <v>16</v>
      </c>
      <c r="C369" t="s">
        <v>5</v>
      </c>
      <c r="D369" t="s">
        <v>23</v>
      </c>
      <c r="E369">
        <v>0.18149841716496659</v>
      </c>
    </row>
    <row r="370" spans="1:5" x14ac:dyDescent="0.25">
      <c r="A370" t="s">
        <v>80</v>
      </c>
      <c r="B370" t="s">
        <v>16</v>
      </c>
      <c r="C370" t="s">
        <v>19</v>
      </c>
      <c r="D370" t="s">
        <v>23</v>
      </c>
      <c r="E370">
        <v>0.65170165456684448</v>
      </c>
    </row>
    <row r="371" spans="1:5" x14ac:dyDescent="0.25">
      <c r="A371" t="s">
        <v>80</v>
      </c>
      <c r="B371" t="s">
        <v>16</v>
      </c>
      <c r="C371" t="s">
        <v>4</v>
      </c>
      <c r="D371" t="s">
        <v>621</v>
      </c>
      <c r="E371">
        <v>0.70507706255666369</v>
      </c>
    </row>
    <row r="372" spans="1:5" x14ac:dyDescent="0.25">
      <c r="A372" t="s">
        <v>80</v>
      </c>
      <c r="B372" t="s">
        <v>16</v>
      </c>
      <c r="C372" t="s">
        <v>18</v>
      </c>
      <c r="D372" t="s">
        <v>621</v>
      </c>
      <c r="E372">
        <v>0.52512562814070352</v>
      </c>
    </row>
    <row r="373" spans="1:5" x14ac:dyDescent="0.25">
      <c r="A373" t="s">
        <v>80</v>
      </c>
      <c r="B373" t="s">
        <v>16</v>
      </c>
      <c r="C373" t="s">
        <v>5</v>
      </c>
      <c r="D373" t="s">
        <v>621</v>
      </c>
      <c r="E373">
        <v>0.68765388673935979</v>
      </c>
    </row>
    <row r="374" spans="1:5" x14ac:dyDescent="0.25">
      <c r="A374" t="s">
        <v>80</v>
      </c>
      <c r="B374" t="s">
        <v>16</v>
      </c>
      <c r="C374" t="s">
        <v>19</v>
      </c>
      <c r="D374" t="s">
        <v>621</v>
      </c>
      <c r="E374">
        <v>1.9178565774367269</v>
      </c>
    </row>
    <row r="375" spans="1:5" x14ac:dyDescent="0.25">
      <c r="A375" t="s">
        <v>80</v>
      </c>
      <c r="B375" t="s">
        <v>16</v>
      </c>
      <c r="C375" t="s">
        <v>4</v>
      </c>
      <c r="D375" t="s">
        <v>24</v>
      </c>
      <c r="E375">
        <v>731.87</v>
      </c>
    </row>
    <row r="376" spans="1:5" x14ac:dyDescent="0.25">
      <c r="A376" t="s">
        <v>80</v>
      </c>
      <c r="B376" t="s">
        <v>16</v>
      </c>
      <c r="C376" t="s">
        <v>18</v>
      </c>
      <c r="D376" t="s">
        <v>24</v>
      </c>
      <c r="E376">
        <v>90.37</v>
      </c>
    </row>
    <row r="377" spans="1:5" x14ac:dyDescent="0.25">
      <c r="A377" t="s">
        <v>80</v>
      </c>
      <c r="B377" t="s">
        <v>16</v>
      </c>
      <c r="C377" t="s">
        <v>5</v>
      </c>
      <c r="D377" t="s">
        <v>24</v>
      </c>
      <c r="E377">
        <v>256.03000000000003</v>
      </c>
    </row>
    <row r="378" spans="1:5" x14ac:dyDescent="0.25">
      <c r="A378" t="s">
        <v>80</v>
      </c>
      <c r="B378" t="s">
        <v>16</v>
      </c>
      <c r="C378" t="s">
        <v>19</v>
      </c>
      <c r="D378" t="s">
        <v>24</v>
      </c>
      <c r="E378">
        <v>1078.27</v>
      </c>
    </row>
    <row r="379" spans="1:5" x14ac:dyDescent="0.25">
      <c r="A379" t="s">
        <v>80</v>
      </c>
      <c r="B379" t="s">
        <v>16</v>
      </c>
      <c r="C379" t="s">
        <v>19</v>
      </c>
      <c r="D379" t="s">
        <v>45</v>
      </c>
      <c r="E379">
        <v>2062480</v>
      </c>
    </row>
    <row r="380" spans="1:5" x14ac:dyDescent="0.25">
      <c r="A380" t="s">
        <v>80</v>
      </c>
      <c r="B380" t="s">
        <v>16</v>
      </c>
      <c r="C380" t="s">
        <v>19</v>
      </c>
      <c r="D380" t="s">
        <v>46</v>
      </c>
      <c r="E380">
        <v>39714</v>
      </c>
    </row>
    <row r="381" spans="1:5" x14ac:dyDescent="0.25">
      <c r="A381" t="s">
        <v>97</v>
      </c>
      <c r="B381" t="s">
        <v>16</v>
      </c>
      <c r="C381" t="s">
        <v>4</v>
      </c>
      <c r="D381" t="s">
        <v>48</v>
      </c>
      <c r="E381">
        <v>118935</v>
      </c>
    </row>
    <row r="382" spans="1:5" x14ac:dyDescent="0.25">
      <c r="A382" t="s">
        <v>97</v>
      </c>
      <c r="B382" t="s">
        <v>16</v>
      </c>
      <c r="C382" t="s">
        <v>5</v>
      </c>
      <c r="D382" t="s">
        <v>48</v>
      </c>
      <c r="E382">
        <v>42351</v>
      </c>
    </row>
    <row r="383" spans="1:5" x14ac:dyDescent="0.25">
      <c r="A383" t="s">
        <v>97</v>
      </c>
      <c r="B383" t="s">
        <v>16</v>
      </c>
      <c r="C383" t="s">
        <v>19</v>
      </c>
      <c r="D383" t="s">
        <v>48</v>
      </c>
      <c r="E383">
        <v>161286</v>
      </c>
    </row>
    <row r="384" spans="1:5" x14ac:dyDescent="0.25">
      <c r="A384" t="s">
        <v>97</v>
      </c>
      <c r="B384" t="s">
        <v>16</v>
      </c>
      <c r="C384" t="s">
        <v>4</v>
      </c>
      <c r="D384" t="s">
        <v>49</v>
      </c>
      <c r="E384">
        <v>483830</v>
      </c>
    </row>
    <row r="385" spans="1:5" x14ac:dyDescent="0.25">
      <c r="A385" t="s">
        <v>97</v>
      </c>
      <c r="B385" t="s">
        <v>16</v>
      </c>
      <c r="C385" t="s">
        <v>18</v>
      </c>
      <c r="D385" t="s">
        <v>49</v>
      </c>
      <c r="E385">
        <v>42538</v>
      </c>
    </row>
    <row r="386" spans="1:5" x14ac:dyDescent="0.25">
      <c r="A386" t="s">
        <v>97</v>
      </c>
      <c r="B386" t="s">
        <v>16</v>
      </c>
      <c r="C386" t="s">
        <v>5</v>
      </c>
      <c r="D386" t="s">
        <v>49</v>
      </c>
      <c r="E386">
        <v>237196</v>
      </c>
    </row>
    <row r="387" spans="1:5" x14ac:dyDescent="0.25">
      <c r="A387" t="s">
        <v>97</v>
      </c>
      <c r="B387" t="s">
        <v>16</v>
      </c>
      <c r="C387" t="s">
        <v>19</v>
      </c>
      <c r="D387" t="s">
        <v>49</v>
      </c>
      <c r="E387">
        <v>763564</v>
      </c>
    </row>
    <row r="388" spans="1:5" x14ac:dyDescent="0.25">
      <c r="A388" t="s">
        <v>97</v>
      </c>
      <c r="B388" t="s">
        <v>16</v>
      </c>
      <c r="C388" t="s">
        <v>4</v>
      </c>
      <c r="D388" t="s">
        <v>50</v>
      </c>
      <c r="E388">
        <v>642</v>
      </c>
    </row>
    <row r="389" spans="1:5" x14ac:dyDescent="0.25">
      <c r="A389" t="s">
        <v>97</v>
      </c>
      <c r="B389" t="s">
        <v>16</v>
      </c>
      <c r="C389" t="s">
        <v>18</v>
      </c>
      <c r="D389" t="s">
        <v>50</v>
      </c>
      <c r="E389">
        <v>13963</v>
      </c>
    </row>
    <row r="390" spans="1:5" x14ac:dyDescent="0.25">
      <c r="A390" t="s">
        <v>97</v>
      </c>
      <c r="B390" t="s">
        <v>16</v>
      </c>
      <c r="C390" t="s">
        <v>5</v>
      </c>
      <c r="D390" t="s">
        <v>50</v>
      </c>
      <c r="E390">
        <v>27937</v>
      </c>
    </row>
    <row r="391" spans="1:5" x14ac:dyDescent="0.25">
      <c r="A391" t="s">
        <v>97</v>
      </c>
      <c r="B391" t="s">
        <v>16</v>
      </c>
      <c r="C391" t="s">
        <v>19</v>
      </c>
      <c r="D391" t="s">
        <v>50</v>
      </c>
      <c r="E391">
        <v>42542</v>
      </c>
    </row>
    <row r="392" spans="1:5" x14ac:dyDescent="0.25">
      <c r="A392" t="s">
        <v>97</v>
      </c>
      <c r="B392" t="s">
        <v>16</v>
      </c>
      <c r="C392" t="s">
        <v>18</v>
      </c>
      <c r="D392" t="s">
        <v>59</v>
      </c>
      <c r="E392" t="s">
        <v>98</v>
      </c>
    </row>
    <row r="393" spans="1:5" x14ac:dyDescent="0.25">
      <c r="A393" t="s">
        <v>97</v>
      </c>
      <c r="B393" t="s">
        <v>16</v>
      </c>
      <c r="C393" t="s">
        <v>4</v>
      </c>
      <c r="D393" t="s">
        <v>59</v>
      </c>
      <c r="E393" t="s">
        <v>99</v>
      </c>
    </row>
    <row r="394" spans="1:5" x14ac:dyDescent="0.25">
      <c r="A394" t="s">
        <v>97</v>
      </c>
      <c r="B394" t="s">
        <v>16</v>
      </c>
      <c r="C394" t="s">
        <v>5</v>
      </c>
      <c r="D394" t="s">
        <v>59</v>
      </c>
      <c r="E394" t="s">
        <v>100</v>
      </c>
    </row>
    <row r="395" spans="1:5" x14ac:dyDescent="0.25">
      <c r="A395" t="s">
        <v>97</v>
      </c>
      <c r="B395" t="s">
        <v>16</v>
      </c>
      <c r="C395" t="s">
        <v>4</v>
      </c>
      <c r="D395" t="s">
        <v>63</v>
      </c>
      <c r="E395" t="s">
        <v>101</v>
      </c>
    </row>
    <row r="396" spans="1:5" x14ac:dyDescent="0.25">
      <c r="A396" t="s">
        <v>97</v>
      </c>
      <c r="B396" t="s">
        <v>16</v>
      </c>
      <c r="C396" t="s">
        <v>18</v>
      </c>
      <c r="D396" t="s">
        <v>63</v>
      </c>
      <c r="E396" t="s">
        <v>102</v>
      </c>
    </row>
    <row r="397" spans="1:5" x14ac:dyDescent="0.25">
      <c r="A397" t="s">
        <v>97</v>
      </c>
      <c r="B397" t="s">
        <v>16</v>
      </c>
      <c r="C397" t="s">
        <v>5</v>
      </c>
      <c r="D397" t="s">
        <v>63</v>
      </c>
      <c r="E397" t="s">
        <v>103</v>
      </c>
    </row>
    <row r="398" spans="1:5" x14ac:dyDescent="0.25">
      <c r="A398" t="s">
        <v>97</v>
      </c>
      <c r="B398" t="s">
        <v>16</v>
      </c>
      <c r="C398" t="s">
        <v>4</v>
      </c>
      <c r="D398" t="s">
        <v>67</v>
      </c>
      <c r="E398" t="s">
        <v>104</v>
      </c>
    </row>
    <row r="399" spans="1:5" x14ac:dyDescent="0.25">
      <c r="A399" t="s">
        <v>97</v>
      </c>
      <c r="B399" t="s">
        <v>16</v>
      </c>
      <c r="C399" t="s">
        <v>18</v>
      </c>
      <c r="D399" t="s">
        <v>67</v>
      </c>
      <c r="E399" t="s">
        <v>105</v>
      </c>
    </row>
    <row r="400" spans="1:5" x14ac:dyDescent="0.25">
      <c r="A400" t="s">
        <v>97</v>
      </c>
      <c r="B400" t="s">
        <v>16</v>
      </c>
      <c r="C400" t="s">
        <v>5</v>
      </c>
      <c r="D400" t="s">
        <v>67</v>
      </c>
      <c r="E400" t="s">
        <v>106</v>
      </c>
    </row>
    <row r="401" spans="1:5" x14ac:dyDescent="0.25">
      <c r="A401" t="s">
        <v>97</v>
      </c>
      <c r="B401" t="s">
        <v>16</v>
      </c>
      <c r="C401" t="s">
        <v>4</v>
      </c>
      <c r="D401" t="s">
        <v>6</v>
      </c>
      <c r="E401">
        <v>11968</v>
      </c>
    </row>
    <row r="402" spans="1:5" x14ac:dyDescent="0.25">
      <c r="A402" t="s">
        <v>97</v>
      </c>
      <c r="B402" t="s">
        <v>16</v>
      </c>
      <c r="C402" t="s">
        <v>18</v>
      </c>
      <c r="D402" t="s">
        <v>6</v>
      </c>
      <c r="E402">
        <v>295</v>
      </c>
    </row>
    <row r="403" spans="1:5" x14ac:dyDescent="0.25">
      <c r="A403" t="s">
        <v>97</v>
      </c>
      <c r="B403" t="s">
        <v>16</v>
      </c>
      <c r="C403" t="s">
        <v>5</v>
      </c>
      <c r="D403" t="s">
        <v>6</v>
      </c>
      <c r="E403">
        <v>2988</v>
      </c>
    </row>
    <row r="404" spans="1:5" x14ac:dyDescent="0.25">
      <c r="A404" t="s">
        <v>97</v>
      </c>
      <c r="B404" t="s">
        <v>16</v>
      </c>
      <c r="C404" t="s">
        <v>19</v>
      </c>
      <c r="D404" t="s">
        <v>6</v>
      </c>
      <c r="E404">
        <v>15251</v>
      </c>
    </row>
    <row r="405" spans="1:5" x14ac:dyDescent="0.25">
      <c r="A405" t="s">
        <v>97</v>
      </c>
      <c r="B405" t="s">
        <v>16</v>
      </c>
      <c r="C405" t="s">
        <v>4</v>
      </c>
      <c r="D405" t="s">
        <v>17</v>
      </c>
      <c r="E405">
        <v>806</v>
      </c>
    </row>
    <row r="406" spans="1:5" x14ac:dyDescent="0.25">
      <c r="A406" t="s">
        <v>97</v>
      </c>
      <c r="B406" t="s">
        <v>16</v>
      </c>
      <c r="C406" t="s">
        <v>18</v>
      </c>
      <c r="D406" t="s">
        <v>17</v>
      </c>
      <c r="E406">
        <v>18</v>
      </c>
    </row>
    <row r="407" spans="1:5" x14ac:dyDescent="0.25">
      <c r="A407" t="s">
        <v>97</v>
      </c>
      <c r="B407" t="s">
        <v>16</v>
      </c>
      <c r="C407" t="s">
        <v>5</v>
      </c>
      <c r="D407" t="s">
        <v>17</v>
      </c>
      <c r="E407">
        <v>63</v>
      </c>
    </row>
    <row r="408" spans="1:5" x14ac:dyDescent="0.25">
      <c r="A408" t="s">
        <v>97</v>
      </c>
      <c r="B408" t="s">
        <v>16</v>
      </c>
      <c r="C408" t="s">
        <v>19</v>
      </c>
      <c r="D408" t="s">
        <v>17</v>
      </c>
      <c r="E408">
        <v>887</v>
      </c>
    </row>
    <row r="409" spans="1:5" x14ac:dyDescent="0.25">
      <c r="A409" t="s">
        <v>97</v>
      </c>
      <c r="B409" t="s">
        <v>16</v>
      </c>
      <c r="C409" t="s">
        <v>4</v>
      </c>
      <c r="D409" t="s">
        <v>29</v>
      </c>
      <c r="E409" t="s">
        <v>90</v>
      </c>
    </row>
    <row r="410" spans="1:5" x14ac:dyDescent="0.25">
      <c r="A410" t="s">
        <v>97</v>
      </c>
      <c r="B410" t="s">
        <v>16</v>
      </c>
      <c r="C410" t="s">
        <v>4</v>
      </c>
      <c r="D410" t="s">
        <v>31</v>
      </c>
      <c r="E410" t="s">
        <v>107</v>
      </c>
    </row>
    <row r="411" spans="1:5" x14ac:dyDescent="0.25">
      <c r="A411" t="s">
        <v>97</v>
      </c>
      <c r="B411" t="s">
        <v>16</v>
      </c>
      <c r="C411" t="s">
        <v>5</v>
      </c>
      <c r="D411" t="s">
        <v>31</v>
      </c>
      <c r="E411" t="s">
        <v>108</v>
      </c>
    </row>
    <row r="412" spans="1:5" x14ac:dyDescent="0.25">
      <c r="A412" t="s">
        <v>97</v>
      </c>
      <c r="B412" t="s">
        <v>16</v>
      </c>
      <c r="C412" t="s">
        <v>4</v>
      </c>
      <c r="D412" t="s">
        <v>34</v>
      </c>
      <c r="E412" t="s">
        <v>92</v>
      </c>
    </row>
    <row r="413" spans="1:5" x14ac:dyDescent="0.25">
      <c r="A413" t="s">
        <v>97</v>
      </c>
      <c r="B413" t="s">
        <v>16</v>
      </c>
      <c r="C413" t="s">
        <v>18</v>
      </c>
      <c r="D413" t="s">
        <v>34</v>
      </c>
      <c r="E413" t="s">
        <v>36</v>
      </c>
    </row>
    <row r="414" spans="1:5" x14ac:dyDescent="0.25">
      <c r="A414" t="s">
        <v>97</v>
      </c>
      <c r="B414" t="s">
        <v>16</v>
      </c>
      <c r="C414" t="s">
        <v>5</v>
      </c>
      <c r="D414" t="s">
        <v>34</v>
      </c>
      <c r="E414" t="s">
        <v>109</v>
      </c>
    </row>
    <row r="415" spans="1:5" x14ac:dyDescent="0.25">
      <c r="A415" t="s">
        <v>97</v>
      </c>
      <c r="B415" t="s">
        <v>16</v>
      </c>
      <c r="C415" t="s">
        <v>4</v>
      </c>
      <c r="D415" t="s">
        <v>38</v>
      </c>
      <c r="E415" t="s">
        <v>110</v>
      </c>
    </row>
    <row r="416" spans="1:5" x14ac:dyDescent="0.25">
      <c r="A416" t="s">
        <v>97</v>
      </c>
      <c r="B416" t="s">
        <v>16</v>
      </c>
      <c r="C416" t="s">
        <v>18</v>
      </c>
      <c r="D416" t="s">
        <v>38</v>
      </c>
      <c r="E416" t="s">
        <v>77</v>
      </c>
    </row>
    <row r="417" spans="1:5" x14ac:dyDescent="0.25">
      <c r="A417" t="s">
        <v>97</v>
      </c>
      <c r="B417" t="s">
        <v>16</v>
      </c>
      <c r="C417" t="s">
        <v>5</v>
      </c>
      <c r="D417" t="s">
        <v>38</v>
      </c>
      <c r="E417" t="s">
        <v>111</v>
      </c>
    </row>
    <row r="418" spans="1:5" x14ac:dyDescent="0.25">
      <c r="A418" t="s">
        <v>97</v>
      </c>
      <c r="B418" t="s">
        <v>16</v>
      </c>
      <c r="C418" t="s">
        <v>4</v>
      </c>
      <c r="D418" t="s">
        <v>79</v>
      </c>
      <c r="E418">
        <v>402827</v>
      </c>
    </row>
    <row r="419" spans="1:5" x14ac:dyDescent="0.25">
      <c r="A419" t="s">
        <v>97</v>
      </c>
      <c r="B419" t="s">
        <v>16</v>
      </c>
      <c r="C419" t="s">
        <v>18</v>
      </c>
      <c r="D419" t="s">
        <v>79</v>
      </c>
      <c r="E419">
        <v>33174</v>
      </c>
    </row>
    <row r="420" spans="1:5" x14ac:dyDescent="0.25">
      <c r="A420" t="s">
        <v>97</v>
      </c>
      <c r="B420" t="s">
        <v>16</v>
      </c>
      <c r="C420" t="s">
        <v>5</v>
      </c>
      <c r="D420" t="s">
        <v>79</v>
      </c>
      <c r="E420">
        <v>416621</v>
      </c>
    </row>
    <row r="421" spans="1:5" x14ac:dyDescent="0.25">
      <c r="A421" t="s">
        <v>97</v>
      </c>
      <c r="B421" t="s">
        <v>16</v>
      </c>
      <c r="C421" t="s">
        <v>19</v>
      </c>
      <c r="D421" t="s">
        <v>79</v>
      </c>
      <c r="E421">
        <v>852622</v>
      </c>
    </row>
    <row r="422" spans="1:5" x14ac:dyDescent="0.25">
      <c r="A422" t="s">
        <v>97</v>
      </c>
      <c r="B422" t="s">
        <v>16</v>
      </c>
      <c r="C422" t="s">
        <v>4</v>
      </c>
      <c r="D422" t="s">
        <v>20</v>
      </c>
      <c r="E422">
        <v>9282</v>
      </c>
    </row>
    <row r="423" spans="1:5" x14ac:dyDescent="0.25">
      <c r="A423" t="s">
        <v>97</v>
      </c>
      <c r="B423" t="s">
        <v>16</v>
      </c>
      <c r="C423" t="s">
        <v>18</v>
      </c>
      <c r="D423" t="s">
        <v>20</v>
      </c>
      <c r="E423">
        <v>685</v>
      </c>
    </row>
    <row r="424" spans="1:5" x14ac:dyDescent="0.25">
      <c r="A424" t="s">
        <v>97</v>
      </c>
      <c r="B424" t="s">
        <v>16</v>
      </c>
      <c r="C424" t="s">
        <v>5</v>
      </c>
      <c r="D424" t="s">
        <v>20</v>
      </c>
      <c r="E424">
        <v>2835</v>
      </c>
    </row>
    <row r="425" spans="1:5" x14ac:dyDescent="0.25">
      <c r="A425" t="s">
        <v>97</v>
      </c>
      <c r="B425" t="s">
        <v>16</v>
      </c>
      <c r="C425" t="s">
        <v>19</v>
      </c>
      <c r="D425" t="s">
        <v>20</v>
      </c>
      <c r="E425">
        <v>12802</v>
      </c>
    </row>
    <row r="426" spans="1:5" x14ac:dyDescent="0.25">
      <c r="A426" t="s">
        <v>97</v>
      </c>
      <c r="B426" t="s">
        <v>16</v>
      </c>
      <c r="C426" t="s">
        <v>4</v>
      </c>
      <c r="D426" t="s">
        <v>42</v>
      </c>
      <c r="E426">
        <v>262</v>
      </c>
    </row>
    <row r="427" spans="1:5" x14ac:dyDescent="0.25">
      <c r="A427" t="s">
        <v>97</v>
      </c>
      <c r="B427" t="s">
        <v>16</v>
      </c>
      <c r="C427" t="s">
        <v>19</v>
      </c>
      <c r="D427" t="s">
        <v>42</v>
      </c>
      <c r="E427">
        <v>262</v>
      </c>
    </row>
    <row r="428" spans="1:5" x14ac:dyDescent="0.25">
      <c r="A428" t="s">
        <v>97</v>
      </c>
      <c r="B428" t="s">
        <v>16</v>
      </c>
      <c r="C428" t="s">
        <v>4</v>
      </c>
      <c r="D428" t="s">
        <v>43</v>
      </c>
      <c r="E428">
        <v>2330</v>
      </c>
    </row>
    <row r="429" spans="1:5" x14ac:dyDescent="0.25">
      <c r="A429" t="s">
        <v>97</v>
      </c>
      <c r="B429" t="s">
        <v>16</v>
      </c>
      <c r="C429" t="s">
        <v>5</v>
      </c>
      <c r="D429" t="s">
        <v>43</v>
      </c>
      <c r="E429">
        <v>745</v>
      </c>
    </row>
    <row r="430" spans="1:5" x14ac:dyDescent="0.25">
      <c r="A430" t="s">
        <v>97</v>
      </c>
      <c r="B430" t="s">
        <v>16</v>
      </c>
      <c r="C430" t="s">
        <v>19</v>
      </c>
      <c r="D430" t="s">
        <v>43</v>
      </c>
      <c r="E430">
        <v>3075</v>
      </c>
    </row>
    <row r="431" spans="1:5" x14ac:dyDescent="0.25">
      <c r="A431" t="s">
        <v>97</v>
      </c>
      <c r="B431" t="s">
        <v>16</v>
      </c>
      <c r="C431" t="s">
        <v>4</v>
      </c>
      <c r="D431" t="s">
        <v>44</v>
      </c>
      <c r="E431">
        <v>6690</v>
      </c>
    </row>
    <row r="432" spans="1:5" x14ac:dyDescent="0.25">
      <c r="A432" t="s">
        <v>97</v>
      </c>
      <c r="B432" t="s">
        <v>16</v>
      </c>
      <c r="C432" t="s">
        <v>18</v>
      </c>
      <c r="D432" t="s">
        <v>44</v>
      </c>
      <c r="E432">
        <v>685</v>
      </c>
    </row>
    <row r="433" spans="1:5" x14ac:dyDescent="0.25">
      <c r="A433" t="s">
        <v>97</v>
      </c>
      <c r="B433" t="s">
        <v>16</v>
      </c>
      <c r="C433" t="s">
        <v>5</v>
      </c>
      <c r="D433" t="s">
        <v>44</v>
      </c>
      <c r="E433">
        <v>2090</v>
      </c>
    </row>
    <row r="434" spans="1:5" x14ac:dyDescent="0.25">
      <c r="A434" t="s">
        <v>97</v>
      </c>
      <c r="B434" t="s">
        <v>16</v>
      </c>
      <c r="C434" t="s">
        <v>19</v>
      </c>
      <c r="D434" t="s">
        <v>44</v>
      </c>
      <c r="E434">
        <v>9465</v>
      </c>
    </row>
    <row r="435" spans="1:5" x14ac:dyDescent="0.25">
      <c r="A435" t="s">
        <v>97</v>
      </c>
      <c r="B435" t="s">
        <v>16</v>
      </c>
      <c r="C435" t="s">
        <v>4</v>
      </c>
      <c r="D435" t="s">
        <v>21</v>
      </c>
      <c r="E435">
        <v>0.9404369008329404</v>
      </c>
    </row>
    <row r="436" spans="1:5" x14ac:dyDescent="0.25">
      <c r="A436" t="s">
        <v>97</v>
      </c>
      <c r="B436" t="s">
        <v>16</v>
      </c>
      <c r="C436" t="s">
        <v>18</v>
      </c>
      <c r="D436" t="s">
        <v>21</v>
      </c>
      <c r="E436">
        <v>0.35414165666266506</v>
      </c>
    </row>
    <row r="437" spans="1:5" x14ac:dyDescent="0.25">
      <c r="A437" t="s">
        <v>97</v>
      </c>
      <c r="B437" t="s">
        <v>16</v>
      </c>
      <c r="C437" t="s">
        <v>5</v>
      </c>
      <c r="D437" t="s">
        <v>21</v>
      </c>
      <c r="E437">
        <v>0.95984580790234497</v>
      </c>
    </row>
    <row r="438" spans="1:5" x14ac:dyDescent="0.25">
      <c r="A438" t="s">
        <v>97</v>
      </c>
      <c r="B438" t="s">
        <v>16</v>
      </c>
      <c r="C438" t="s">
        <v>19</v>
      </c>
      <c r="D438" t="s">
        <v>21</v>
      </c>
      <c r="E438">
        <v>2.2544243653979503</v>
      </c>
    </row>
    <row r="439" spans="1:5" x14ac:dyDescent="0.25">
      <c r="A439" t="s">
        <v>97</v>
      </c>
      <c r="B439" t="s">
        <v>16</v>
      </c>
      <c r="C439" t="s">
        <v>4</v>
      </c>
      <c r="D439" t="s">
        <v>22</v>
      </c>
      <c r="E439">
        <v>0.13468489706113468</v>
      </c>
    </row>
    <row r="440" spans="1:5" x14ac:dyDescent="0.25">
      <c r="A440" t="s">
        <v>97</v>
      </c>
      <c r="B440" t="s">
        <v>16</v>
      </c>
      <c r="C440" t="s">
        <v>18</v>
      </c>
      <c r="D440" t="s">
        <v>22</v>
      </c>
      <c r="E440">
        <v>0.21368547418967587</v>
      </c>
    </row>
    <row r="441" spans="1:5" x14ac:dyDescent="0.25">
      <c r="A441" t="s">
        <v>97</v>
      </c>
      <c r="B441" t="s">
        <v>16</v>
      </c>
      <c r="C441" t="s">
        <v>5</v>
      </c>
      <c r="D441" t="s">
        <v>22</v>
      </c>
      <c r="E441">
        <v>0.11018310311596533</v>
      </c>
    </row>
    <row r="442" spans="1:5" x14ac:dyDescent="0.25">
      <c r="A442" t="s">
        <v>97</v>
      </c>
      <c r="B442" t="s">
        <v>16</v>
      </c>
      <c r="C442" t="s">
        <v>19</v>
      </c>
      <c r="D442" t="s">
        <v>22</v>
      </c>
      <c r="E442">
        <v>0.45855347436677585</v>
      </c>
    </row>
    <row r="443" spans="1:5" x14ac:dyDescent="0.25">
      <c r="A443" t="s">
        <v>97</v>
      </c>
      <c r="B443" t="s">
        <v>16</v>
      </c>
      <c r="C443" t="s">
        <v>4</v>
      </c>
      <c r="D443" t="s">
        <v>23</v>
      </c>
      <c r="E443">
        <v>0.17766776677667767</v>
      </c>
    </row>
    <row r="444" spans="1:5" x14ac:dyDescent="0.25">
      <c r="A444" t="s">
        <v>97</v>
      </c>
      <c r="B444" t="s">
        <v>16</v>
      </c>
      <c r="C444" t="s">
        <v>18</v>
      </c>
      <c r="D444" t="s">
        <v>23</v>
      </c>
      <c r="E444">
        <v>0.2857142857142857</v>
      </c>
    </row>
    <row r="445" spans="1:5" x14ac:dyDescent="0.25">
      <c r="A445" t="s">
        <v>97</v>
      </c>
      <c r="B445" t="s">
        <v>16</v>
      </c>
      <c r="C445" t="s">
        <v>5</v>
      </c>
      <c r="D445" t="s">
        <v>23</v>
      </c>
      <c r="E445">
        <v>0.18535175072277543</v>
      </c>
    </row>
    <row r="446" spans="1:5" x14ac:dyDescent="0.25">
      <c r="A446" t="s">
        <v>97</v>
      </c>
      <c r="B446" t="s">
        <v>16</v>
      </c>
      <c r="C446" t="s">
        <v>19</v>
      </c>
      <c r="D446" t="s">
        <v>23</v>
      </c>
      <c r="E446">
        <v>0.64873380321373886</v>
      </c>
    </row>
    <row r="447" spans="1:5" x14ac:dyDescent="0.25">
      <c r="A447" t="s">
        <v>97</v>
      </c>
      <c r="B447" t="s">
        <v>16</v>
      </c>
      <c r="C447" t="s">
        <v>4</v>
      </c>
      <c r="D447" t="s">
        <v>621</v>
      </c>
      <c r="E447">
        <v>0.68764733616218765</v>
      </c>
    </row>
    <row r="448" spans="1:5" x14ac:dyDescent="0.25">
      <c r="A448" t="s">
        <v>97</v>
      </c>
      <c r="B448" t="s">
        <v>16</v>
      </c>
      <c r="C448" t="s">
        <v>18</v>
      </c>
      <c r="D448" t="s">
        <v>621</v>
      </c>
      <c r="E448">
        <v>0.50060024009603843</v>
      </c>
    </row>
    <row r="449" spans="1:5" x14ac:dyDescent="0.25">
      <c r="A449" t="s">
        <v>97</v>
      </c>
      <c r="B449" t="s">
        <v>16</v>
      </c>
      <c r="C449" t="s">
        <v>5</v>
      </c>
      <c r="D449" t="s">
        <v>621</v>
      </c>
      <c r="E449">
        <v>0.70446514616125921</v>
      </c>
    </row>
    <row r="450" spans="1:5" x14ac:dyDescent="0.25">
      <c r="A450" t="s">
        <v>97</v>
      </c>
      <c r="B450" t="s">
        <v>16</v>
      </c>
      <c r="C450" t="s">
        <v>19</v>
      </c>
      <c r="D450" t="s">
        <v>621</v>
      </c>
      <c r="E450">
        <v>1.8927127224194853</v>
      </c>
    </row>
    <row r="451" spans="1:5" x14ac:dyDescent="0.25">
      <c r="A451" t="s">
        <v>97</v>
      </c>
      <c r="B451" t="s">
        <v>16</v>
      </c>
      <c r="C451" t="s">
        <v>4</v>
      </c>
      <c r="D451" t="s">
        <v>24</v>
      </c>
      <c r="E451">
        <v>619.69000000000017</v>
      </c>
    </row>
    <row r="452" spans="1:5" x14ac:dyDescent="0.25">
      <c r="A452" t="s">
        <v>97</v>
      </c>
      <c r="B452" t="s">
        <v>16</v>
      </c>
      <c r="C452" t="s">
        <v>18</v>
      </c>
      <c r="D452" t="s">
        <v>24</v>
      </c>
      <c r="E452">
        <v>113.54000000000002</v>
      </c>
    </row>
    <row r="453" spans="1:5" x14ac:dyDescent="0.25">
      <c r="A453" t="s">
        <v>97</v>
      </c>
      <c r="B453" t="s">
        <v>16</v>
      </c>
      <c r="C453" t="s">
        <v>5</v>
      </c>
      <c r="D453" t="s">
        <v>24</v>
      </c>
      <c r="E453">
        <v>187.2</v>
      </c>
    </row>
    <row r="454" spans="1:5" x14ac:dyDescent="0.25">
      <c r="A454" t="s">
        <v>97</v>
      </c>
      <c r="B454" t="s">
        <v>16</v>
      </c>
      <c r="C454" t="s">
        <v>19</v>
      </c>
      <c r="D454" t="s">
        <v>24</v>
      </c>
      <c r="E454">
        <v>920.43000000000029</v>
      </c>
    </row>
    <row r="455" spans="1:5" x14ac:dyDescent="0.25">
      <c r="A455" t="s">
        <v>97</v>
      </c>
      <c r="B455" t="s">
        <v>16</v>
      </c>
      <c r="C455" t="s">
        <v>19</v>
      </c>
      <c r="D455" t="s">
        <v>45</v>
      </c>
      <c r="E455">
        <v>2070819</v>
      </c>
    </row>
    <row r="456" spans="1:5" x14ac:dyDescent="0.25">
      <c r="A456" t="s">
        <v>97</v>
      </c>
      <c r="B456" t="s">
        <v>16</v>
      </c>
      <c r="C456" t="s">
        <v>19</v>
      </c>
      <c r="D456" t="s">
        <v>46</v>
      </c>
      <c r="E456">
        <v>38880</v>
      </c>
    </row>
    <row r="457" spans="1:5" x14ac:dyDescent="0.25">
      <c r="A457" t="s">
        <v>112</v>
      </c>
      <c r="B457" t="s">
        <v>16</v>
      </c>
      <c r="C457" t="s">
        <v>4</v>
      </c>
      <c r="D457" t="s">
        <v>48</v>
      </c>
      <c r="E457">
        <v>114500</v>
      </c>
    </row>
    <row r="458" spans="1:5" x14ac:dyDescent="0.25">
      <c r="A458" t="s">
        <v>112</v>
      </c>
      <c r="B458" t="s">
        <v>16</v>
      </c>
      <c r="C458" t="s">
        <v>5</v>
      </c>
      <c r="D458" t="s">
        <v>48</v>
      </c>
      <c r="E458">
        <v>45491</v>
      </c>
    </row>
    <row r="459" spans="1:5" x14ac:dyDescent="0.25">
      <c r="A459" t="s">
        <v>112</v>
      </c>
      <c r="B459" t="s">
        <v>16</v>
      </c>
      <c r="C459" t="s">
        <v>19</v>
      </c>
      <c r="D459" t="s">
        <v>48</v>
      </c>
      <c r="E459">
        <v>159991</v>
      </c>
    </row>
    <row r="460" spans="1:5" x14ac:dyDescent="0.25">
      <c r="A460" t="s">
        <v>112</v>
      </c>
      <c r="B460" t="s">
        <v>16</v>
      </c>
      <c r="C460" t="s">
        <v>4</v>
      </c>
      <c r="D460" t="s">
        <v>49</v>
      </c>
      <c r="E460">
        <v>448699</v>
      </c>
    </row>
    <row r="461" spans="1:5" x14ac:dyDescent="0.25">
      <c r="A461" t="s">
        <v>112</v>
      </c>
      <c r="B461" t="s">
        <v>16</v>
      </c>
      <c r="C461" t="s">
        <v>18</v>
      </c>
      <c r="D461" t="s">
        <v>49</v>
      </c>
      <c r="E461">
        <v>38271</v>
      </c>
    </row>
    <row r="462" spans="1:5" x14ac:dyDescent="0.25">
      <c r="A462" t="s">
        <v>112</v>
      </c>
      <c r="B462" t="s">
        <v>16</v>
      </c>
      <c r="C462" t="s">
        <v>5</v>
      </c>
      <c r="D462" t="s">
        <v>49</v>
      </c>
      <c r="E462">
        <v>204962</v>
      </c>
    </row>
    <row r="463" spans="1:5" x14ac:dyDescent="0.25">
      <c r="A463" t="s">
        <v>112</v>
      </c>
      <c r="B463" t="s">
        <v>16</v>
      </c>
      <c r="C463" t="s">
        <v>19</v>
      </c>
      <c r="D463" t="s">
        <v>49</v>
      </c>
      <c r="E463">
        <v>691932</v>
      </c>
    </row>
    <row r="464" spans="1:5" x14ac:dyDescent="0.25">
      <c r="A464" t="s">
        <v>112</v>
      </c>
      <c r="B464" t="s">
        <v>16</v>
      </c>
      <c r="C464" t="s">
        <v>4</v>
      </c>
      <c r="D464" t="s">
        <v>50</v>
      </c>
      <c r="E464">
        <v>430</v>
      </c>
    </row>
    <row r="465" spans="1:5" x14ac:dyDescent="0.25">
      <c r="A465" t="s">
        <v>112</v>
      </c>
      <c r="B465" t="s">
        <v>16</v>
      </c>
      <c r="C465" t="s">
        <v>18</v>
      </c>
      <c r="D465" t="s">
        <v>50</v>
      </c>
      <c r="E465">
        <v>13819</v>
      </c>
    </row>
    <row r="466" spans="1:5" x14ac:dyDescent="0.25">
      <c r="A466" t="s">
        <v>112</v>
      </c>
      <c r="B466" t="s">
        <v>16</v>
      </c>
      <c r="C466" t="s">
        <v>5</v>
      </c>
      <c r="D466" t="s">
        <v>50</v>
      </c>
      <c r="E466">
        <v>24889</v>
      </c>
    </row>
    <row r="467" spans="1:5" x14ac:dyDescent="0.25">
      <c r="A467" t="s">
        <v>112</v>
      </c>
      <c r="B467" t="s">
        <v>16</v>
      </c>
      <c r="C467" t="s">
        <v>19</v>
      </c>
      <c r="D467" t="s">
        <v>50</v>
      </c>
      <c r="E467">
        <v>39138</v>
      </c>
    </row>
    <row r="468" spans="1:5" x14ac:dyDescent="0.25">
      <c r="A468" t="s">
        <v>112</v>
      </c>
      <c r="B468" t="s">
        <v>16</v>
      </c>
      <c r="C468" t="s">
        <v>18</v>
      </c>
      <c r="D468" t="s">
        <v>59</v>
      </c>
      <c r="E468" t="s">
        <v>113</v>
      </c>
    </row>
    <row r="469" spans="1:5" x14ac:dyDescent="0.25">
      <c r="A469" t="s">
        <v>112</v>
      </c>
      <c r="B469" t="s">
        <v>16</v>
      </c>
      <c r="C469" t="s">
        <v>4</v>
      </c>
      <c r="D469" t="s">
        <v>59</v>
      </c>
      <c r="E469" t="s">
        <v>114</v>
      </c>
    </row>
    <row r="470" spans="1:5" x14ac:dyDescent="0.25">
      <c r="A470" t="s">
        <v>112</v>
      </c>
      <c r="B470" t="s">
        <v>16</v>
      </c>
      <c r="C470" t="s">
        <v>5</v>
      </c>
      <c r="D470" t="s">
        <v>59</v>
      </c>
      <c r="E470" t="s">
        <v>115</v>
      </c>
    </row>
    <row r="471" spans="1:5" x14ac:dyDescent="0.25">
      <c r="A471" t="s">
        <v>112</v>
      </c>
      <c r="B471" t="s">
        <v>16</v>
      </c>
      <c r="C471" t="s">
        <v>4</v>
      </c>
      <c r="D471" t="s">
        <v>63</v>
      </c>
      <c r="E471" t="s">
        <v>116</v>
      </c>
    </row>
    <row r="472" spans="1:5" x14ac:dyDescent="0.25">
      <c r="A472" t="s">
        <v>112</v>
      </c>
      <c r="B472" t="s">
        <v>16</v>
      </c>
      <c r="C472" t="s">
        <v>18</v>
      </c>
      <c r="D472" t="s">
        <v>63</v>
      </c>
      <c r="E472" t="s">
        <v>117</v>
      </c>
    </row>
    <row r="473" spans="1:5" x14ac:dyDescent="0.25">
      <c r="A473" t="s">
        <v>112</v>
      </c>
      <c r="B473" t="s">
        <v>16</v>
      </c>
      <c r="C473" t="s">
        <v>5</v>
      </c>
      <c r="D473" t="s">
        <v>63</v>
      </c>
      <c r="E473" t="s">
        <v>118</v>
      </c>
    </row>
    <row r="474" spans="1:5" x14ac:dyDescent="0.25">
      <c r="A474" t="s">
        <v>112</v>
      </c>
      <c r="B474" t="s">
        <v>16</v>
      </c>
      <c r="C474" t="s">
        <v>4</v>
      </c>
      <c r="D474" t="s">
        <v>67</v>
      </c>
      <c r="E474" t="s">
        <v>119</v>
      </c>
    </row>
    <row r="475" spans="1:5" x14ac:dyDescent="0.25">
      <c r="A475" t="s">
        <v>112</v>
      </c>
      <c r="B475" t="s">
        <v>16</v>
      </c>
      <c r="C475" t="s">
        <v>18</v>
      </c>
      <c r="D475" t="s">
        <v>67</v>
      </c>
      <c r="E475" t="s">
        <v>120</v>
      </c>
    </row>
    <row r="476" spans="1:5" x14ac:dyDescent="0.25">
      <c r="A476" t="s">
        <v>112</v>
      </c>
      <c r="B476" t="s">
        <v>16</v>
      </c>
      <c r="C476" t="s">
        <v>5</v>
      </c>
      <c r="D476" t="s">
        <v>67</v>
      </c>
      <c r="E476" t="s">
        <v>121</v>
      </c>
    </row>
    <row r="477" spans="1:5" x14ac:dyDescent="0.25">
      <c r="A477" t="s">
        <v>112</v>
      </c>
      <c r="B477" t="s">
        <v>16</v>
      </c>
      <c r="C477" t="s">
        <v>4</v>
      </c>
      <c r="D477" t="s">
        <v>6</v>
      </c>
      <c r="E477">
        <v>11885</v>
      </c>
    </row>
    <row r="478" spans="1:5" x14ac:dyDescent="0.25">
      <c r="A478" t="s">
        <v>112</v>
      </c>
      <c r="B478" t="s">
        <v>16</v>
      </c>
      <c r="C478" t="s">
        <v>18</v>
      </c>
      <c r="D478" t="s">
        <v>6</v>
      </c>
      <c r="E478">
        <v>321</v>
      </c>
    </row>
    <row r="479" spans="1:5" x14ac:dyDescent="0.25">
      <c r="A479" t="s">
        <v>112</v>
      </c>
      <c r="B479" t="s">
        <v>16</v>
      </c>
      <c r="C479" t="s">
        <v>5</v>
      </c>
      <c r="D479" t="s">
        <v>6</v>
      </c>
      <c r="E479">
        <v>2987</v>
      </c>
    </row>
    <row r="480" spans="1:5" x14ac:dyDescent="0.25">
      <c r="A480" t="s">
        <v>112</v>
      </c>
      <c r="B480" t="s">
        <v>16</v>
      </c>
      <c r="C480" t="s">
        <v>19</v>
      </c>
      <c r="D480" t="s">
        <v>6</v>
      </c>
      <c r="E480">
        <v>15193</v>
      </c>
    </row>
    <row r="481" spans="1:5" x14ac:dyDescent="0.25">
      <c r="A481" t="s">
        <v>112</v>
      </c>
      <c r="B481" t="s">
        <v>16</v>
      </c>
      <c r="C481" t="s">
        <v>4</v>
      </c>
      <c r="D481" t="s">
        <v>17</v>
      </c>
      <c r="E481">
        <v>414</v>
      </c>
    </row>
    <row r="482" spans="1:5" x14ac:dyDescent="0.25">
      <c r="A482" t="s">
        <v>112</v>
      </c>
      <c r="B482" t="s">
        <v>16</v>
      </c>
      <c r="C482" t="s">
        <v>18</v>
      </c>
      <c r="D482" t="s">
        <v>17</v>
      </c>
      <c r="E482">
        <v>0</v>
      </c>
    </row>
    <row r="483" spans="1:5" x14ac:dyDescent="0.25">
      <c r="A483" t="s">
        <v>112</v>
      </c>
      <c r="B483" t="s">
        <v>16</v>
      </c>
      <c r="C483" t="s">
        <v>5</v>
      </c>
      <c r="D483" t="s">
        <v>17</v>
      </c>
      <c r="E483">
        <v>0</v>
      </c>
    </row>
    <row r="484" spans="1:5" x14ac:dyDescent="0.25">
      <c r="A484" t="s">
        <v>112</v>
      </c>
      <c r="B484" t="s">
        <v>16</v>
      </c>
      <c r="C484" t="s">
        <v>19</v>
      </c>
      <c r="D484" t="s">
        <v>17</v>
      </c>
      <c r="E484">
        <v>414</v>
      </c>
    </row>
    <row r="485" spans="1:5" x14ac:dyDescent="0.25">
      <c r="A485" t="s">
        <v>112</v>
      </c>
      <c r="B485" t="s">
        <v>16</v>
      </c>
      <c r="C485" t="s">
        <v>4</v>
      </c>
      <c r="D485" t="s">
        <v>29</v>
      </c>
      <c r="E485" t="s">
        <v>122</v>
      </c>
    </row>
    <row r="486" spans="1:5" x14ac:dyDescent="0.25">
      <c r="A486" t="s">
        <v>112</v>
      </c>
      <c r="B486" t="s">
        <v>16</v>
      </c>
      <c r="C486" t="s">
        <v>4</v>
      </c>
      <c r="D486" t="s">
        <v>31</v>
      </c>
      <c r="E486" t="s">
        <v>123</v>
      </c>
    </row>
    <row r="487" spans="1:5" x14ac:dyDescent="0.25">
      <c r="A487" t="s">
        <v>112</v>
      </c>
      <c r="B487" t="s">
        <v>16</v>
      </c>
      <c r="C487" t="s">
        <v>5</v>
      </c>
      <c r="D487" t="s">
        <v>31</v>
      </c>
      <c r="E487" t="s">
        <v>124</v>
      </c>
    </row>
    <row r="488" spans="1:5" x14ac:dyDescent="0.25">
      <c r="A488" t="s">
        <v>112</v>
      </c>
      <c r="B488" t="s">
        <v>16</v>
      </c>
      <c r="C488" t="s">
        <v>4</v>
      </c>
      <c r="D488" t="s">
        <v>34</v>
      </c>
      <c r="E488" t="s">
        <v>92</v>
      </c>
    </row>
    <row r="489" spans="1:5" x14ac:dyDescent="0.25">
      <c r="A489" t="s">
        <v>112</v>
      </c>
      <c r="B489" t="s">
        <v>16</v>
      </c>
      <c r="C489" t="s">
        <v>18</v>
      </c>
      <c r="D489" t="s">
        <v>34</v>
      </c>
      <c r="E489" t="s">
        <v>125</v>
      </c>
    </row>
    <row r="490" spans="1:5" x14ac:dyDescent="0.25">
      <c r="A490" t="s">
        <v>112</v>
      </c>
      <c r="B490" t="s">
        <v>16</v>
      </c>
      <c r="C490" t="s">
        <v>5</v>
      </c>
      <c r="D490" t="s">
        <v>34</v>
      </c>
      <c r="E490" t="s">
        <v>126</v>
      </c>
    </row>
    <row r="491" spans="1:5" x14ac:dyDescent="0.25">
      <c r="A491" t="s">
        <v>112</v>
      </c>
      <c r="B491" t="s">
        <v>16</v>
      </c>
      <c r="C491" t="s">
        <v>4</v>
      </c>
      <c r="D491" t="s">
        <v>38</v>
      </c>
      <c r="E491" t="s">
        <v>127</v>
      </c>
    </row>
    <row r="492" spans="1:5" x14ac:dyDescent="0.25">
      <c r="A492" t="s">
        <v>112</v>
      </c>
      <c r="B492" t="s">
        <v>16</v>
      </c>
      <c r="C492" t="s">
        <v>18</v>
      </c>
      <c r="D492" t="s">
        <v>38</v>
      </c>
      <c r="E492" t="s">
        <v>128</v>
      </c>
    </row>
    <row r="493" spans="1:5" x14ac:dyDescent="0.25">
      <c r="A493" t="s">
        <v>112</v>
      </c>
      <c r="B493" t="s">
        <v>16</v>
      </c>
      <c r="C493" t="s">
        <v>5</v>
      </c>
      <c r="D493" t="s">
        <v>38</v>
      </c>
      <c r="E493" t="s">
        <v>129</v>
      </c>
    </row>
    <row r="494" spans="1:5" x14ac:dyDescent="0.25">
      <c r="A494" t="s">
        <v>112</v>
      </c>
      <c r="B494" t="s">
        <v>16</v>
      </c>
      <c r="C494" t="s">
        <v>4</v>
      </c>
      <c r="D494" t="s">
        <v>79</v>
      </c>
      <c r="E494">
        <v>389499</v>
      </c>
    </row>
    <row r="495" spans="1:5" x14ac:dyDescent="0.25">
      <c r="A495" t="s">
        <v>112</v>
      </c>
      <c r="B495" t="s">
        <v>16</v>
      </c>
      <c r="C495" t="s">
        <v>18</v>
      </c>
      <c r="D495" t="s">
        <v>79</v>
      </c>
      <c r="E495">
        <v>31902</v>
      </c>
    </row>
    <row r="496" spans="1:5" x14ac:dyDescent="0.25">
      <c r="A496" t="s">
        <v>112</v>
      </c>
      <c r="B496" t="s">
        <v>16</v>
      </c>
      <c r="C496" t="s">
        <v>5</v>
      </c>
      <c r="D496" t="s">
        <v>79</v>
      </c>
      <c r="E496">
        <v>376826</v>
      </c>
    </row>
    <row r="497" spans="1:5" x14ac:dyDescent="0.25">
      <c r="A497" t="s">
        <v>112</v>
      </c>
      <c r="B497" t="s">
        <v>16</v>
      </c>
      <c r="C497" t="s">
        <v>19</v>
      </c>
      <c r="D497" t="s">
        <v>79</v>
      </c>
      <c r="E497">
        <v>798227</v>
      </c>
    </row>
    <row r="498" spans="1:5" x14ac:dyDescent="0.25">
      <c r="A498" t="s">
        <v>112</v>
      </c>
      <c r="B498" t="s">
        <v>16</v>
      </c>
      <c r="C498" t="s">
        <v>4</v>
      </c>
      <c r="D498" t="s">
        <v>20</v>
      </c>
      <c r="E498">
        <v>8819</v>
      </c>
    </row>
    <row r="499" spans="1:5" x14ac:dyDescent="0.25">
      <c r="A499" t="s">
        <v>112</v>
      </c>
      <c r="B499" t="s">
        <v>16</v>
      </c>
      <c r="C499" t="s">
        <v>18</v>
      </c>
      <c r="D499" t="s">
        <v>20</v>
      </c>
      <c r="E499">
        <v>640</v>
      </c>
    </row>
    <row r="500" spans="1:5" x14ac:dyDescent="0.25">
      <c r="A500" t="s">
        <v>112</v>
      </c>
      <c r="B500" t="s">
        <v>16</v>
      </c>
      <c r="C500" t="s">
        <v>5</v>
      </c>
      <c r="D500" t="s">
        <v>20</v>
      </c>
      <c r="E500">
        <v>2810</v>
      </c>
    </row>
    <row r="501" spans="1:5" x14ac:dyDescent="0.25">
      <c r="A501" t="s">
        <v>112</v>
      </c>
      <c r="B501" t="s">
        <v>16</v>
      </c>
      <c r="C501" t="s">
        <v>19</v>
      </c>
      <c r="D501" t="s">
        <v>20</v>
      </c>
      <c r="E501">
        <v>12269</v>
      </c>
    </row>
    <row r="502" spans="1:5" x14ac:dyDescent="0.25">
      <c r="A502" t="s">
        <v>112</v>
      </c>
      <c r="B502" t="s">
        <v>16</v>
      </c>
      <c r="C502" t="s">
        <v>4</v>
      </c>
      <c r="D502" t="s">
        <v>42</v>
      </c>
      <c r="E502">
        <v>258</v>
      </c>
    </row>
    <row r="503" spans="1:5" x14ac:dyDescent="0.25">
      <c r="A503" t="s">
        <v>112</v>
      </c>
      <c r="B503" t="s">
        <v>16</v>
      </c>
      <c r="C503" t="s">
        <v>19</v>
      </c>
      <c r="D503" t="s">
        <v>42</v>
      </c>
      <c r="E503">
        <v>258</v>
      </c>
    </row>
    <row r="504" spans="1:5" x14ac:dyDescent="0.25">
      <c r="A504" t="s">
        <v>112</v>
      </c>
      <c r="B504" t="s">
        <v>16</v>
      </c>
      <c r="C504" t="s">
        <v>4</v>
      </c>
      <c r="D504" t="s">
        <v>43</v>
      </c>
      <c r="E504">
        <v>2017</v>
      </c>
    </row>
    <row r="505" spans="1:5" x14ac:dyDescent="0.25">
      <c r="A505" t="s">
        <v>112</v>
      </c>
      <c r="B505" t="s">
        <v>16</v>
      </c>
      <c r="C505" t="s">
        <v>5</v>
      </c>
      <c r="D505" t="s">
        <v>43</v>
      </c>
      <c r="E505">
        <v>702</v>
      </c>
    </row>
    <row r="506" spans="1:5" x14ac:dyDescent="0.25">
      <c r="A506" t="s">
        <v>112</v>
      </c>
      <c r="B506" t="s">
        <v>16</v>
      </c>
      <c r="C506" t="s">
        <v>19</v>
      </c>
      <c r="D506" t="s">
        <v>43</v>
      </c>
      <c r="E506">
        <v>2719</v>
      </c>
    </row>
    <row r="507" spans="1:5" x14ac:dyDescent="0.25">
      <c r="A507" t="s">
        <v>112</v>
      </c>
      <c r="B507" t="s">
        <v>16</v>
      </c>
      <c r="C507" t="s">
        <v>4</v>
      </c>
      <c r="D507" t="s">
        <v>44</v>
      </c>
      <c r="E507">
        <v>6544</v>
      </c>
    </row>
    <row r="508" spans="1:5" x14ac:dyDescent="0.25">
      <c r="A508" t="s">
        <v>112</v>
      </c>
      <c r="B508" t="s">
        <v>16</v>
      </c>
      <c r="C508" t="s">
        <v>18</v>
      </c>
      <c r="D508" t="s">
        <v>44</v>
      </c>
      <c r="E508">
        <v>640</v>
      </c>
    </row>
    <row r="509" spans="1:5" x14ac:dyDescent="0.25">
      <c r="A509" t="s">
        <v>112</v>
      </c>
      <c r="B509" t="s">
        <v>16</v>
      </c>
      <c r="C509" t="s">
        <v>5</v>
      </c>
      <c r="D509" t="s">
        <v>44</v>
      </c>
      <c r="E509">
        <v>2108</v>
      </c>
    </row>
    <row r="510" spans="1:5" x14ac:dyDescent="0.25">
      <c r="A510" t="s">
        <v>112</v>
      </c>
      <c r="B510" t="s">
        <v>16</v>
      </c>
      <c r="C510" t="s">
        <v>19</v>
      </c>
      <c r="D510" t="s">
        <v>44</v>
      </c>
      <c r="E510">
        <v>9292</v>
      </c>
    </row>
    <row r="511" spans="1:5" x14ac:dyDescent="0.25">
      <c r="A511" t="s">
        <v>112</v>
      </c>
      <c r="B511" t="s">
        <v>16</v>
      </c>
      <c r="C511" t="s">
        <v>4</v>
      </c>
      <c r="D511" t="s">
        <v>21</v>
      </c>
      <c r="E511">
        <v>0.94280501348564172</v>
      </c>
    </row>
    <row r="512" spans="1:5" x14ac:dyDescent="0.25">
      <c r="A512" t="s">
        <v>112</v>
      </c>
      <c r="B512" t="s">
        <v>16</v>
      </c>
      <c r="C512" t="s">
        <v>18</v>
      </c>
      <c r="D512" t="s">
        <v>21</v>
      </c>
      <c r="E512">
        <v>0.38168846611177171</v>
      </c>
    </row>
    <row r="513" spans="1:5" x14ac:dyDescent="0.25">
      <c r="A513" t="s">
        <v>112</v>
      </c>
      <c r="B513" t="s">
        <v>16</v>
      </c>
      <c r="C513" t="s">
        <v>5</v>
      </c>
      <c r="D513" t="s">
        <v>21</v>
      </c>
      <c r="E513">
        <v>0.9607590865229978</v>
      </c>
    </row>
    <row r="514" spans="1:5" x14ac:dyDescent="0.25">
      <c r="A514" t="s">
        <v>112</v>
      </c>
      <c r="B514" t="s">
        <v>16</v>
      </c>
      <c r="C514" t="s">
        <v>19</v>
      </c>
      <c r="D514" t="s">
        <v>21</v>
      </c>
      <c r="E514">
        <v>2.2852525661204113</v>
      </c>
    </row>
    <row r="515" spans="1:5" x14ac:dyDescent="0.25">
      <c r="A515" t="s">
        <v>112</v>
      </c>
      <c r="B515" t="s">
        <v>16</v>
      </c>
      <c r="C515" t="s">
        <v>4</v>
      </c>
      <c r="D515" t="s">
        <v>22</v>
      </c>
      <c r="E515">
        <v>0.12462319530382356</v>
      </c>
    </row>
    <row r="516" spans="1:5" x14ac:dyDescent="0.25">
      <c r="A516" t="s">
        <v>112</v>
      </c>
      <c r="B516" t="s">
        <v>16</v>
      </c>
      <c r="C516" t="s">
        <v>18</v>
      </c>
      <c r="D516" t="s">
        <v>22</v>
      </c>
      <c r="E516">
        <v>0.17954815695600476</v>
      </c>
    </row>
    <row r="517" spans="1:5" x14ac:dyDescent="0.25">
      <c r="A517" t="s">
        <v>112</v>
      </c>
      <c r="B517" t="s">
        <v>16</v>
      </c>
      <c r="C517" t="s">
        <v>5</v>
      </c>
      <c r="D517" t="s">
        <v>22</v>
      </c>
      <c r="E517">
        <v>9.4564168542939836E-2</v>
      </c>
    </row>
    <row r="518" spans="1:5" x14ac:dyDescent="0.25">
      <c r="A518" t="s">
        <v>112</v>
      </c>
      <c r="B518" t="s">
        <v>16</v>
      </c>
      <c r="C518" t="s">
        <v>19</v>
      </c>
      <c r="D518" t="s">
        <v>22</v>
      </c>
      <c r="E518">
        <v>0.3987355208027682</v>
      </c>
    </row>
    <row r="519" spans="1:5" x14ac:dyDescent="0.25">
      <c r="A519" t="s">
        <v>112</v>
      </c>
      <c r="B519" t="s">
        <v>16</v>
      </c>
      <c r="C519" t="s">
        <v>4</v>
      </c>
      <c r="D519" t="s">
        <v>23</v>
      </c>
      <c r="E519">
        <v>0.18665714739013167</v>
      </c>
    </row>
    <row r="520" spans="1:5" x14ac:dyDescent="0.25">
      <c r="A520" t="s">
        <v>112</v>
      </c>
      <c r="B520" t="s">
        <v>16</v>
      </c>
      <c r="C520" t="s">
        <v>18</v>
      </c>
      <c r="D520" t="s">
        <v>23</v>
      </c>
      <c r="E520">
        <v>0.30202140309155767</v>
      </c>
    </row>
    <row r="521" spans="1:5" x14ac:dyDescent="0.25">
      <c r="A521" t="s">
        <v>112</v>
      </c>
      <c r="B521" t="s">
        <v>16</v>
      </c>
      <c r="C521" t="s">
        <v>5</v>
      </c>
      <c r="D521" t="s">
        <v>23</v>
      </c>
      <c r="E521">
        <v>0.18944998391765841</v>
      </c>
    </row>
    <row r="522" spans="1:5" x14ac:dyDescent="0.25">
      <c r="A522" t="s">
        <v>112</v>
      </c>
      <c r="B522" t="s">
        <v>16</v>
      </c>
      <c r="C522" t="s">
        <v>19</v>
      </c>
      <c r="D522" t="s">
        <v>23</v>
      </c>
      <c r="E522">
        <v>0.67812853439934773</v>
      </c>
    </row>
    <row r="523" spans="1:5" x14ac:dyDescent="0.25">
      <c r="A523" t="s">
        <v>112</v>
      </c>
      <c r="B523" t="s">
        <v>16</v>
      </c>
      <c r="C523" t="s">
        <v>4</v>
      </c>
      <c r="D523" t="s">
        <v>621</v>
      </c>
      <c r="E523">
        <v>0.68871965730604479</v>
      </c>
    </row>
    <row r="524" spans="1:5" x14ac:dyDescent="0.25">
      <c r="A524" t="s">
        <v>112</v>
      </c>
      <c r="B524" t="s">
        <v>16</v>
      </c>
      <c r="C524" t="s">
        <v>18</v>
      </c>
      <c r="D524" t="s">
        <v>621</v>
      </c>
      <c r="E524">
        <v>0.51843043995243754</v>
      </c>
    </row>
    <row r="525" spans="1:5" x14ac:dyDescent="0.25">
      <c r="A525" t="s">
        <v>112</v>
      </c>
      <c r="B525" t="s">
        <v>16</v>
      </c>
      <c r="C525" t="s">
        <v>5</v>
      </c>
      <c r="D525" t="s">
        <v>621</v>
      </c>
      <c r="E525">
        <v>0.71598584753940175</v>
      </c>
    </row>
    <row r="526" spans="1:5" x14ac:dyDescent="0.25">
      <c r="A526" t="s">
        <v>112</v>
      </c>
      <c r="B526" t="s">
        <v>16</v>
      </c>
      <c r="C526" t="s">
        <v>19</v>
      </c>
      <c r="D526" t="s">
        <v>621</v>
      </c>
      <c r="E526">
        <v>1.923135944797884</v>
      </c>
    </row>
    <row r="527" spans="1:5" x14ac:dyDescent="0.25">
      <c r="A527" t="s">
        <v>112</v>
      </c>
      <c r="B527" t="s">
        <v>16</v>
      </c>
      <c r="C527" t="s">
        <v>4</v>
      </c>
      <c r="D527" t="s">
        <v>24</v>
      </c>
      <c r="E527">
        <v>631.98999999999967</v>
      </c>
    </row>
    <row r="528" spans="1:5" x14ac:dyDescent="0.25">
      <c r="A528" t="s">
        <v>112</v>
      </c>
      <c r="B528" t="s">
        <v>16</v>
      </c>
      <c r="C528" t="s">
        <v>18</v>
      </c>
      <c r="D528" t="s">
        <v>24</v>
      </c>
      <c r="E528">
        <v>71.759999999999991</v>
      </c>
    </row>
    <row r="529" spans="1:5" x14ac:dyDescent="0.25">
      <c r="A529" t="s">
        <v>112</v>
      </c>
      <c r="B529" t="s">
        <v>16</v>
      </c>
      <c r="C529" t="s">
        <v>5</v>
      </c>
      <c r="D529" t="s">
        <v>24</v>
      </c>
      <c r="E529">
        <v>157.79</v>
      </c>
    </row>
    <row r="530" spans="1:5" x14ac:dyDescent="0.25">
      <c r="A530" t="s">
        <v>112</v>
      </c>
      <c r="B530" t="s">
        <v>16</v>
      </c>
      <c r="C530" t="s">
        <v>19</v>
      </c>
      <c r="D530" t="s">
        <v>24</v>
      </c>
      <c r="E530">
        <v>861.53999999999974</v>
      </c>
    </row>
    <row r="531" spans="1:5" x14ac:dyDescent="0.25">
      <c r="A531" t="s">
        <v>112</v>
      </c>
      <c r="B531" t="s">
        <v>16</v>
      </c>
      <c r="C531" t="s">
        <v>19</v>
      </c>
      <c r="D531" t="s">
        <v>45</v>
      </c>
      <c r="E531">
        <v>1914833</v>
      </c>
    </row>
    <row r="532" spans="1:5" x14ac:dyDescent="0.25">
      <c r="A532" t="s">
        <v>112</v>
      </c>
      <c r="B532" t="s">
        <v>16</v>
      </c>
      <c r="C532" t="s">
        <v>19</v>
      </c>
      <c r="D532" t="s">
        <v>46</v>
      </c>
      <c r="E532">
        <v>35194</v>
      </c>
    </row>
    <row r="533" spans="1:5" x14ac:dyDescent="0.25">
      <c r="A533" t="s">
        <v>130</v>
      </c>
      <c r="B533" t="s">
        <v>16</v>
      </c>
      <c r="C533" t="s">
        <v>4</v>
      </c>
      <c r="D533" t="s">
        <v>48</v>
      </c>
      <c r="E533">
        <v>119769</v>
      </c>
    </row>
    <row r="534" spans="1:5" x14ac:dyDescent="0.25">
      <c r="A534" t="s">
        <v>130</v>
      </c>
      <c r="B534" t="s">
        <v>16</v>
      </c>
      <c r="C534" t="s">
        <v>5</v>
      </c>
      <c r="D534" t="s">
        <v>48</v>
      </c>
      <c r="E534">
        <v>49790</v>
      </c>
    </row>
    <row r="535" spans="1:5" x14ac:dyDescent="0.25">
      <c r="A535" t="s">
        <v>130</v>
      </c>
      <c r="B535" t="s">
        <v>16</v>
      </c>
      <c r="C535" t="s">
        <v>19</v>
      </c>
      <c r="D535" t="s">
        <v>48</v>
      </c>
      <c r="E535">
        <v>169559</v>
      </c>
    </row>
    <row r="536" spans="1:5" x14ac:dyDescent="0.25">
      <c r="A536" t="s">
        <v>130</v>
      </c>
      <c r="B536" t="s">
        <v>16</v>
      </c>
      <c r="C536" t="s">
        <v>4</v>
      </c>
      <c r="D536" t="s">
        <v>49</v>
      </c>
      <c r="E536">
        <v>481584</v>
      </c>
    </row>
    <row r="537" spans="1:5" x14ac:dyDescent="0.25">
      <c r="A537" t="s">
        <v>130</v>
      </c>
      <c r="B537" t="s">
        <v>16</v>
      </c>
      <c r="C537" t="s">
        <v>18</v>
      </c>
      <c r="D537" t="s">
        <v>49</v>
      </c>
      <c r="E537">
        <v>40822</v>
      </c>
    </row>
    <row r="538" spans="1:5" x14ac:dyDescent="0.25">
      <c r="A538" t="s">
        <v>130</v>
      </c>
      <c r="B538" t="s">
        <v>16</v>
      </c>
      <c r="C538" t="s">
        <v>5</v>
      </c>
      <c r="D538" t="s">
        <v>49</v>
      </c>
      <c r="E538">
        <v>220058</v>
      </c>
    </row>
    <row r="539" spans="1:5" x14ac:dyDescent="0.25">
      <c r="A539" t="s">
        <v>130</v>
      </c>
      <c r="B539" t="s">
        <v>16</v>
      </c>
      <c r="C539" t="s">
        <v>19</v>
      </c>
      <c r="D539" t="s">
        <v>49</v>
      </c>
      <c r="E539">
        <v>742464</v>
      </c>
    </row>
    <row r="540" spans="1:5" x14ac:dyDescent="0.25">
      <c r="A540" t="s">
        <v>130</v>
      </c>
      <c r="B540" t="s">
        <v>16</v>
      </c>
      <c r="C540" t="s">
        <v>4</v>
      </c>
      <c r="D540" t="s">
        <v>50</v>
      </c>
      <c r="E540">
        <v>681</v>
      </c>
    </row>
    <row r="541" spans="1:5" x14ac:dyDescent="0.25">
      <c r="A541" t="s">
        <v>130</v>
      </c>
      <c r="B541" t="s">
        <v>16</v>
      </c>
      <c r="C541" t="s">
        <v>18</v>
      </c>
      <c r="D541" t="s">
        <v>50</v>
      </c>
      <c r="E541">
        <v>15318</v>
      </c>
    </row>
    <row r="542" spans="1:5" x14ac:dyDescent="0.25">
      <c r="A542" t="s">
        <v>130</v>
      </c>
      <c r="B542" t="s">
        <v>16</v>
      </c>
      <c r="C542" t="s">
        <v>5</v>
      </c>
      <c r="D542" t="s">
        <v>50</v>
      </c>
      <c r="E542">
        <v>29682</v>
      </c>
    </row>
    <row r="543" spans="1:5" x14ac:dyDescent="0.25">
      <c r="A543" t="s">
        <v>130</v>
      </c>
      <c r="B543" t="s">
        <v>16</v>
      </c>
      <c r="C543" t="s">
        <v>19</v>
      </c>
      <c r="D543" t="s">
        <v>50</v>
      </c>
      <c r="E543">
        <v>45681</v>
      </c>
    </row>
    <row r="544" spans="1:5" x14ac:dyDescent="0.25">
      <c r="A544" t="s">
        <v>130</v>
      </c>
      <c r="B544" t="s">
        <v>16</v>
      </c>
      <c r="C544" t="s">
        <v>18</v>
      </c>
      <c r="D544" t="s">
        <v>59</v>
      </c>
      <c r="E544" t="s">
        <v>131</v>
      </c>
    </row>
    <row r="545" spans="1:5" x14ac:dyDescent="0.25">
      <c r="A545" t="s">
        <v>130</v>
      </c>
      <c r="B545" t="s">
        <v>16</v>
      </c>
      <c r="C545" t="s">
        <v>4</v>
      </c>
      <c r="D545" t="s">
        <v>59</v>
      </c>
      <c r="E545" t="s">
        <v>132</v>
      </c>
    </row>
    <row r="546" spans="1:5" x14ac:dyDescent="0.25">
      <c r="A546" t="s">
        <v>130</v>
      </c>
      <c r="B546" t="s">
        <v>16</v>
      </c>
      <c r="C546" t="s">
        <v>5</v>
      </c>
      <c r="D546" t="s">
        <v>59</v>
      </c>
      <c r="E546" t="s">
        <v>133</v>
      </c>
    </row>
    <row r="547" spans="1:5" x14ac:dyDescent="0.25">
      <c r="A547" t="s">
        <v>130</v>
      </c>
      <c r="B547" t="s">
        <v>16</v>
      </c>
      <c r="C547" t="s">
        <v>4</v>
      </c>
      <c r="D547" t="s">
        <v>63</v>
      </c>
      <c r="E547" t="s">
        <v>134</v>
      </c>
    </row>
    <row r="548" spans="1:5" x14ac:dyDescent="0.25">
      <c r="A548" t="s">
        <v>130</v>
      </c>
      <c r="B548" t="s">
        <v>16</v>
      </c>
      <c r="C548" t="s">
        <v>18</v>
      </c>
      <c r="D548" t="s">
        <v>63</v>
      </c>
      <c r="E548" t="s">
        <v>135</v>
      </c>
    </row>
    <row r="549" spans="1:5" x14ac:dyDescent="0.25">
      <c r="A549" t="s">
        <v>130</v>
      </c>
      <c r="B549" t="s">
        <v>16</v>
      </c>
      <c r="C549" t="s">
        <v>5</v>
      </c>
      <c r="D549" t="s">
        <v>63</v>
      </c>
      <c r="E549" t="s">
        <v>136</v>
      </c>
    </row>
    <row r="550" spans="1:5" x14ac:dyDescent="0.25">
      <c r="A550" t="s">
        <v>130</v>
      </c>
      <c r="B550" t="s">
        <v>16</v>
      </c>
      <c r="C550" t="s">
        <v>4</v>
      </c>
      <c r="D550" t="s">
        <v>67</v>
      </c>
      <c r="E550" t="s">
        <v>137</v>
      </c>
    </row>
    <row r="551" spans="1:5" x14ac:dyDescent="0.25">
      <c r="A551" t="s">
        <v>130</v>
      </c>
      <c r="B551" t="s">
        <v>16</v>
      </c>
      <c r="C551" t="s">
        <v>18</v>
      </c>
      <c r="D551" t="s">
        <v>67</v>
      </c>
      <c r="E551" t="s">
        <v>138</v>
      </c>
    </row>
    <row r="552" spans="1:5" x14ac:dyDescent="0.25">
      <c r="A552" t="s">
        <v>130</v>
      </c>
      <c r="B552" t="s">
        <v>16</v>
      </c>
      <c r="C552" t="s">
        <v>5</v>
      </c>
      <c r="D552" t="s">
        <v>67</v>
      </c>
      <c r="E552" t="s">
        <v>139</v>
      </c>
    </row>
    <row r="553" spans="1:5" x14ac:dyDescent="0.25">
      <c r="A553" t="s">
        <v>130</v>
      </c>
      <c r="B553" t="s">
        <v>16</v>
      </c>
      <c r="C553" t="s">
        <v>4</v>
      </c>
      <c r="D553" t="s">
        <v>6</v>
      </c>
      <c r="E553">
        <v>11877</v>
      </c>
    </row>
    <row r="554" spans="1:5" x14ac:dyDescent="0.25">
      <c r="A554" t="s">
        <v>130</v>
      </c>
      <c r="B554" t="s">
        <v>16</v>
      </c>
      <c r="C554" t="s">
        <v>18</v>
      </c>
      <c r="D554" t="s">
        <v>6</v>
      </c>
      <c r="E554">
        <v>336</v>
      </c>
    </row>
    <row r="555" spans="1:5" x14ac:dyDescent="0.25">
      <c r="A555" t="s">
        <v>130</v>
      </c>
      <c r="B555" t="s">
        <v>16</v>
      </c>
      <c r="C555" t="s">
        <v>5</v>
      </c>
      <c r="D555" t="s">
        <v>6</v>
      </c>
      <c r="E555">
        <v>3002</v>
      </c>
    </row>
    <row r="556" spans="1:5" x14ac:dyDescent="0.25">
      <c r="A556" t="s">
        <v>130</v>
      </c>
      <c r="B556" t="s">
        <v>16</v>
      </c>
      <c r="C556" t="s">
        <v>19</v>
      </c>
      <c r="D556" t="s">
        <v>6</v>
      </c>
      <c r="E556">
        <v>15215</v>
      </c>
    </row>
    <row r="557" spans="1:5" x14ac:dyDescent="0.25">
      <c r="A557" t="s">
        <v>130</v>
      </c>
      <c r="B557" t="s">
        <v>16</v>
      </c>
      <c r="C557" t="s">
        <v>4</v>
      </c>
      <c r="D557" t="s">
        <v>17</v>
      </c>
      <c r="E557">
        <v>419</v>
      </c>
    </row>
    <row r="558" spans="1:5" x14ac:dyDescent="0.25">
      <c r="A558" t="s">
        <v>130</v>
      </c>
      <c r="B558" t="s">
        <v>16</v>
      </c>
      <c r="C558" t="s">
        <v>18</v>
      </c>
      <c r="D558" t="s">
        <v>17</v>
      </c>
      <c r="E558">
        <v>8</v>
      </c>
    </row>
    <row r="559" spans="1:5" x14ac:dyDescent="0.25">
      <c r="A559" t="s">
        <v>130</v>
      </c>
      <c r="B559" t="s">
        <v>16</v>
      </c>
      <c r="C559" t="s">
        <v>5</v>
      </c>
      <c r="D559" t="s">
        <v>17</v>
      </c>
      <c r="E559">
        <v>66</v>
      </c>
    </row>
    <row r="560" spans="1:5" x14ac:dyDescent="0.25">
      <c r="A560" t="s">
        <v>130</v>
      </c>
      <c r="B560" t="s">
        <v>16</v>
      </c>
      <c r="C560" t="s">
        <v>19</v>
      </c>
      <c r="D560" t="s">
        <v>17</v>
      </c>
      <c r="E560">
        <v>493</v>
      </c>
    </row>
    <row r="561" spans="1:5" x14ac:dyDescent="0.25">
      <c r="A561" t="s">
        <v>130</v>
      </c>
      <c r="B561" t="s">
        <v>16</v>
      </c>
      <c r="C561" t="s">
        <v>4</v>
      </c>
      <c r="D561" t="s">
        <v>29</v>
      </c>
      <c r="E561" t="s">
        <v>122</v>
      </c>
    </row>
    <row r="562" spans="1:5" x14ac:dyDescent="0.25">
      <c r="A562" t="s">
        <v>130</v>
      </c>
      <c r="B562" t="s">
        <v>16</v>
      </c>
      <c r="C562" t="s">
        <v>4</v>
      </c>
      <c r="D562" t="s">
        <v>31</v>
      </c>
      <c r="E562" t="s">
        <v>123</v>
      </c>
    </row>
    <row r="563" spans="1:5" x14ac:dyDescent="0.25">
      <c r="A563" t="s">
        <v>130</v>
      </c>
      <c r="B563" t="s">
        <v>16</v>
      </c>
      <c r="C563" t="s">
        <v>5</v>
      </c>
      <c r="D563" t="s">
        <v>31</v>
      </c>
      <c r="E563" t="s">
        <v>140</v>
      </c>
    </row>
    <row r="564" spans="1:5" x14ac:dyDescent="0.25">
      <c r="A564" t="s">
        <v>130</v>
      </c>
      <c r="B564" t="s">
        <v>16</v>
      </c>
      <c r="C564" t="s">
        <v>4</v>
      </c>
      <c r="D564" t="s">
        <v>34</v>
      </c>
      <c r="E564" t="s">
        <v>141</v>
      </c>
    </row>
    <row r="565" spans="1:5" x14ac:dyDescent="0.25">
      <c r="A565" t="s">
        <v>130</v>
      </c>
      <c r="B565" t="s">
        <v>16</v>
      </c>
      <c r="C565" t="s">
        <v>18</v>
      </c>
      <c r="D565" t="s">
        <v>34</v>
      </c>
      <c r="E565" t="s">
        <v>36</v>
      </c>
    </row>
    <row r="566" spans="1:5" x14ac:dyDescent="0.25">
      <c r="A566" t="s">
        <v>130</v>
      </c>
      <c r="B566" t="s">
        <v>16</v>
      </c>
      <c r="C566" t="s">
        <v>5</v>
      </c>
      <c r="D566" t="s">
        <v>34</v>
      </c>
      <c r="E566" t="s">
        <v>142</v>
      </c>
    </row>
    <row r="567" spans="1:5" x14ac:dyDescent="0.25">
      <c r="A567" t="s">
        <v>130</v>
      </c>
      <c r="B567" t="s">
        <v>16</v>
      </c>
      <c r="C567" t="s">
        <v>4</v>
      </c>
      <c r="D567" t="s">
        <v>38</v>
      </c>
      <c r="E567" t="s">
        <v>143</v>
      </c>
    </row>
    <row r="568" spans="1:5" x14ac:dyDescent="0.25">
      <c r="A568" t="s">
        <v>130</v>
      </c>
      <c r="B568" t="s">
        <v>16</v>
      </c>
      <c r="C568" t="s">
        <v>18</v>
      </c>
      <c r="D568" t="s">
        <v>38</v>
      </c>
      <c r="E568" t="s">
        <v>144</v>
      </c>
    </row>
    <row r="569" spans="1:5" x14ac:dyDescent="0.25">
      <c r="A569" t="s">
        <v>130</v>
      </c>
      <c r="B569" t="s">
        <v>16</v>
      </c>
      <c r="C569" t="s">
        <v>5</v>
      </c>
      <c r="D569" t="s">
        <v>38</v>
      </c>
      <c r="E569" t="s">
        <v>145</v>
      </c>
    </row>
    <row r="570" spans="1:5" x14ac:dyDescent="0.25">
      <c r="A570" t="s">
        <v>130</v>
      </c>
      <c r="B570" t="s">
        <v>16</v>
      </c>
      <c r="C570" t="s">
        <v>4</v>
      </c>
      <c r="D570" t="s">
        <v>79</v>
      </c>
      <c r="E570">
        <v>394934</v>
      </c>
    </row>
    <row r="571" spans="1:5" x14ac:dyDescent="0.25">
      <c r="A571" t="s">
        <v>130</v>
      </c>
      <c r="B571" t="s">
        <v>16</v>
      </c>
      <c r="C571" t="s">
        <v>18</v>
      </c>
      <c r="D571" t="s">
        <v>79</v>
      </c>
      <c r="E571">
        <v>32972</v>
      </c>
    </row>
    <row r="572" spans="1:5" x14ac:dyDescent="0.25">
      <c r="A572" t="s">
        <v>130</v>
      </c>
      <c r="B572" t="s">
        <v>16</v>
      </c>
      <c r="C572" t="s">
        <v>5</v>
      </c>
      <c r="D572" t="s">
        <v>79</v>
      </c>
      <c r="E572">
        <v>398566</v>
      </c>
    </row>
    <row r="573" spans="1:5" x14ac:dyDescent="0.25">
      <c r="A573" t="s">
        <v>130</v>
      </c>
      <c r="B573" t="s">
        <v>16</v>
      </c>
      <c r="C573" t="s">
        <v>19</v>
      </c>
      <c r="D573" t="s">
        <v>79</v>
      </c>
      <c r="E573">
        <v>826472</v>
      </c>
    </row>
    <row r="574" spans="1:5" x14ac:dyDescent="0.25">
      <c r="A574" t="s">
        <v>130</v>
      </c>
      <c r="B574" t="s">
        <v>16</v>
      </c>
      <c r="C574" t="s">
        <v>4</v>
      </c>
      <c r="D574" t="s">
        <v>20</v>
      </c>
      <c r="E574">
        <v>8230</v>
      </c>
    </row>
    <row r="575" spans="1:5" x14ac:dyDescent="0.25">
      <c r="A575" t="s">
        <v>130</v>
      </c>
      <c r="B575" t="s">
        <v>16</v>
      </c>
      <c r="C575" t="s">
        <v>18</v>
      </c>
      <c r="D575" t="s">
        <v>20</v>
      </c>
      <c r="E575">
        <v>666</v>
      </c>
    </row>
    <row r="576" spans="1:5" x14ac:dyDescent="0.25">
      <c r="A576" t="s">
        <v>130</v>
      </c>
      <c r="B576" t="s">
        <v>16</v>
      </c>
      <c r="C576" t="s">
        <v>5</v>
      </c>
      <c r="D576" t="s">
        <v>20</v>
      </c>
      <c r="E576">
        <v>3062</v>
      </c>
    </row>
    <row r="577" spans="1:5" x14ac:dyDescent="0.25">
      <c r="A577" t="s">
        <v>130</v>
      </c>
      <c r="B577" t="s">
        <v>16</v>
      </c>
      <c r="C577" t="s">
        <v>19</v>
      </c>
      <c r="D577" t="s">
        <v>20</v>
      </c>
      <c r="E577">
        <v>11958</v>
      </c>
    </row>
    <row r="578" spans="1:5" x14ac:dyDescent="0.25">
      <c r="A578" t="s">
        <v>130</v>
      </c>
      <c r="B578" t="s">
        <v>16</v>
      </c>
      <c r="C578" t="s">
        <v>4</v>
      </c>
      <c r="D578" t="s">
        <v>42</v>
      </c>
      <c r="E578">
        <v>364</v>
      </c>
    </row>
    <row r="579" spans="1:5" x14ac:dyDescent="0.25">
      <c r="A579" t="s">
        <v>130</v>
      </c>
      <c r="B579" t="s">
        <v>16</v>
      </c>
      <c r="C579" t="s">
        <v>19</v>
      </c>
      <c r="D579" t="s">
        <v>42</v>
      </c>
      <c r="E579">
        <v>364</v>
      </c>
    </row>
    <row r="580" spans="1:5" x14ac:dyDescent="0.25">
      <c r="A580" t="s">
        <v>130</v>
      </c>
      <c r="B580" t="s">
        <v>16</v>
      </c>
      <c r="C580" t="s">
        <v>4</v>
      </c>
      <c r="D580" t="s">
        <v>43</v>
      </c>
      <c r="E580">
        <v>2181</v>
      </c>
    </row>
    <row r="581" spans="1:5" x14ac:dyDescent="0.25">
      <c r="A581" t="s">
        <v>130</v>
      </c>
      <c r="B581" t="s">
        <v>16</v>
      </c>
      <c r="C581" t="s">
        <v>5</v>
      </c>
      <c r="D581" t="s">
        <v>43</v>
      </c>
      <c r="E581">
        <v>755</v>
      </c>
    </row>
    <row r="582" spans="1:5" x14ac:dyDescent="0.25">
      <c r="A582" t="s">
        <v>130</v>
      </c>
      <c r="B582" t="s">
        <v>16</v>
      </c>
      <c r="C582" t="s">
        <v>19</v>
      </c>
      <c r="D582" t="s">
        <v>43</v>
      </c>
      <c r="E582">
        <v>2936</v>
      </c>
    </row>
    <row r="583" spans="1:5" x14ac:dyDescent="0.25">
      <c r="A583" t="s">
        <v>130</v>
      </c>
      <c r="B583" t="s">
        <v>16</v>
      </c>
      <c r="C583" t="s">
        <v>4</v>
      </c>
      <c r="D583" t="s">
        <v>44</v>
      </c>
      <c r="E583">
        <v>5685</v>
      </c>
    </row>
    <row r="584" spans="1:5" x14ac:dyDescent="0.25">
      <c r="A584" t="s">
        <v>130</v>
      </c>
      <c r="B584" t="s">
        <v>16</v>
      </c>
      <c r="C584" t="s">
        <v>18</v>
      </c>
      <c r="D584" t="s">
        <v>44</v>
      </c>
      <c r="E584">
        <v>666</v>
      </c>
    </row>
    <row r="585" spans="1:5" x14ac:dyDescent="0.25">
      <c r="A585" t="s">
        <v>130</v>
      </c>
      <c r="B585" t="s">
        <v>16</v>
      </c>
      <c r="C585" t="s">
        <v>5</v>
      </c>
      <c r="D585" t="s">
        <v>44</v>
      </c>
      <c r="E585">
        <v>2307</v>
      </c>
    </row>
    <row r="586" spans="1:5" x14ac:dyDescent="0.25">
      <c r="A586" t="s">
        <v>130</v>
      </c>
      <c r="B586" t="s">
        <v>16</v>
      </c>
      <c r="C586" t="s">
        <v>19</v>
      </c>
      <c r="D586" t="s">
        <v>44</v>
      </c>
      <c r="E586">
        <v>8658</v>
      </c>
    </row>
    <row r="587" spans="1:5" x14ac:dyDescent="0.25">
      <c r="A587" t="s">
        <v>130</v>
      </c>
      <c r="B587" t="s">
        <v>16</v>
      </c>
      <c r="C587" t="s">
        <v>4</v>
      </c>
      <c r="D587" t="s">
        <v>21</v>
      </c>
      <c r="E587">
        <v>0.94217039504997635</v>
      </c>
    </row>
    <row r="588" spans="1:5" x14ac:dyDescent="0.25">
      <c r="A588" t="s">
        <v>130</v>
      </c>
      <c r="B588" t="s">
        <v>16</v>
      </c>
      <c r="C588" t="s">
        <v>18</v>
      </c>
      <c r="D588" t="s">
        <v>21</v>
      </c>
      <c r="E588">
        <v>0.4</v>
      </c>
    </row>
    <row r="589" spans="1:5" x14ac:dyDescent="0.25">
      <c r="A589" t="s">
        <v>130</v>
      </c>
      <c r="B589" t="s">
        <v>16</v>
      </c>
      <c r="C589" t="s">
        <v>5</v>
      </c>
      <c r="D589" t="s">
        <v>21</v>
      </c>
      <c r="E589">
        <v>0.96310555020853372</v>
      </c>
    </row>
    <row r="590" spans="1:5" x14ac:dyDescent="0.25">
      <c r="A590" t="s">
        <v>130</v>
      </c>
      <c r="B590" t="s">
        <v>16</v>
      </c>
      <c r="C590" t="s">
        <v>19</v>
      </c>
      <c r="D590" t="s">
        <v>21</v>
      </c>
      <c r="E590">
        <v>2.3052759452585101</v>
      </c>
    </row>
    <row r="591" spans="1:5" x14ac:dyDescent="0.25">
      <c r="A591" t="s">
        <v>130</v>
      </c>
      <c r="B591" t="s">
        <v>16</v>
      </c>
      <c r="C591" t="s">
        <v>4</v>
      </c>
      <c r="D591" t="s">
        <v>22</v>
      </c>
      <c r="E591">
        <v>0.12589243217515467</v>
      </c>
    </row>
    <row r="592" spans="1:5" x14ac:dyDescent="0.25">
      <c r="A592" t="s">
        <v>130</v>
      </c>
      <c r="B592" t="s">
        <v>16</v>
      </c>
      <c r="C592" t="s">
        <v>18</v>
      </c>
      <c r="D592" t="s">
        <v>22</v>
      </c>
      <c r="E592">
        <v>0.18452380952380951</v>
      </c>
    </row>
    <row r="593" spans="1:5" x14ac:dyDescent="0.25">
      <c r="A593" t="s">
        <v>130</v>
      </c>
      <c r="B593" t="s">
        <v>16</v>
      </c>
      <c r="C593" t="s">
        <v>5</v>
      </c>
      <c r="D593" t="s">
        <v>22</v>
      </c>
      <c r="E593">
        <v>0.10747513634905358</v>
      </c>
    </row>
    <row r="594" spans="1:5" x14ac:dyDescent="0.25">
      <c r="A594" t="s">
        <v>130</v>
      </c>
      <c r="B594" t="s">
        <v>16</v>
      </c>
      <c r="C594" t="s">
        <v>19</v>
      </c>
      <c r="D594" t="s">
        <v>22</v>
      </c>
      <c r="E594">
        <v>0.41789137804801774</v>
      </c>
    </row>
    <row r="595" spans="1:5" x14ac:dyDescent="0.25">
      <c r="A595" t="s">
        <v>130</v>
      </c>
      <c r="B595" t="s">
        <v>16</v>
      </c>
      <c r="C595" t="s">
        <v>4</v>
      </c>
      <c r="D595" t="s">
        <v>23</v>
      </c>
      <c r="E595">
        <v>0.17999365381564331</v>
      </c>
    </row>
    <row r="596" spans="1:5" x14ac:dyDescent="0.25">
      <c r="A596" t="s">
        <v>130</v>
      </c>
      <c r="B596" t="s">
        <v>16</v>
      </c>
      <c r="C596" t="s">
        <v>18</v>
      </c>
      <c r="D596" t="s">
        <v>23</v>
      </c>
      <c r="E596">
        <v>0.29523809523809524</v>
      </c>
    </row>
    <row r="597" spans="1:5" x14ac:dyDescent="0.25">
      <c r="A597" t="s">
        <v>130</v>
      </c>
      <c r="B597" t="s">
        <v>16</v>
      </c>
      <c r="C597" t="s">
        <v>5</v>
      </c>
      <c r="D597" t="s">
        <v>23</v>
      </c>
      <c r="E597">
        <v>0.15495668912415783</v>
      </c>
    </row>
    <row r="598" spans="1:5" x14ac:dyDescent="0.25">
      <c r="A598" t="s">
        <v>130</v>
      </c>
      <c r="B598" t="s">
        <v>16</v>
      </c>
      <c r="C598" t="s">
        <v>19</v>
      </c>
      <c r="D598" t="s">
        <v>23</v>
      </c>
      <c r="E598">
        <v>0.63018843817789638</v>
      </c>
    </row>
    <row r="599" spans="1:5" x14ac:dyDescent="0.25">
      <c r="A599" t="s">
        <v>130</v>
      </c>
      <c r="B599" t="s">
        <v>16</v>
      </c>
      <c r="C599" t="s">
        <v>4</v>
      </c>
      <c r="D599" t="s">
        <v>621</v>
      </c>
      <c r="E599">
        <v>0.69411391400920197</v>
      </c>
    </row>
    <row r="600" spans="1:5" x14ac:dyDescent="0.25">
      <c r="A600" t="s">
        <v>130</v>
      </c>
      <c r="B600" t="s">
        <v>16</v>
      </c>
      <c r="C600" t="s">
        <v>18</v>
      </c>
      <c r="D600" t="s">
        <v>621</v>
      </c>
      <c r="E600">
        <v>0.52023809523809528</v>
      </c>
    </row>
    <row r="601" spans="1:5" x14ac:dyDescent="0.25">
      <c r="A601" t="s">
        <v>130</v>
      </c>
      <c r="B601" t="s">
        <v>16</v>
      </c>
      <c r="C601" t="s">
        <v>5</v>
      </c>
      <c r="D601" t="s">
        <v>621</v>
      </c>
      <c r="E601">
        <v>0.73756817452678869</v>
      </c>
    </row>
    <row r="602" spans="1:5" x14ac:dyDescent="0.25">
      <c r="A602" t="s">
        <v>130</v>
      </c>
      <c r="B602" t="s">
        <v>16</v>
      </c>
      <c r="C602" t="s">
        <v>19</v>
      </c>
      <c r="D602" t="s">
        <v>621</v>
      </c>
      <c r="E602">
        <v>1.9519201837740856</v>
      </c>
    </row>
    <row r="603" spans="1:5" x14ac:dyDescent="0.25">
      <c r="A603" t="s">
        <v>130</v>
      </c>
      <c r="B603" t="s">
        <v>16</v>
      </c>
      <c r="C603" t="s">
        <v>4</v>
      </c>
      <c r="D603" t="s">
        <v>24</v>
      </c>
      <c r="E603">
        <v>418.35999999999984</v>
      </c>
    </row>
    <row r="604" spans="1:5" x14ac:dyDescent="0.25">
      <c r="A604" t="s">
        <v>130</v>
      </c>
      <c r="B604" t="s">
        <v>16</v>
      </c>
      <c r="C604" t="s">
        <v>18</v>
      </c>
      <c r="D604" t="s">
        <v>24</v>
      </c>
      <c r="E604">
        <v>71.749999999999986</v>
      </c>
    </row>
    <row r="605" spans="1:5" x14ac:dyDescent="0.25">
      <c r="A605" t="s">
        <v>130</v>
      </c>
      <c r="B605" t="s">
        <v>16</v>
      </c>
      <c r="C605" t="s">
        <v>5</v>
      </c>
      <c r="D605" t="s">
        <v>24</v>
      </c>
      <c r="E605">
        <v>199.43999999999988</v>
      </c>
    </row>
    <row r="606" spans="1:5" x14ac:dyDescent="0.25">
      <c r="A606" t="s">
        <v>130</v>
      </c>
      <c r="B606" t="s">
        <v>16</v>
      </c>
      <c r="C606" t="s">
        <v>19</v>
      </c>
      <c r="D606" t="s">
        <v>24</v>
      </c>
      <c r="E606">
        <v>689.54999999999973</v>
      </c>
    </row>
    <row r="607" spans="1:5" x14ac:dyDescent="0.25">
      <c r="A607" t="s">
        <v>130</v>
      </c>
      <c r="B607" t="s">
        <v>16</v>
      </c>
      <c r="C607" t="s">
        <v>19</v>
      </c>
      <c r="D607" t="s">
        <v>45</v>
      </c>
      <c r="E607">
        <v>2039432</v>
      </c>
    </row>
    <row r="608" spans="1:5" x14ac:dyDescent="0.25">
      <c r="A608" t="s">
        <v>130</v>
      </c>
      <c r="B608" t="s">
        <v>16</v>
      </c>
      <c r="C608" t="s">
        <v>19</v>
      </c>
      <c r="D608" t="s">
        <v>46</v>
      </c>
      <c r="E608">
        <v>38288</v>
      </c>
    </row>
    <row r="609" spans="1:5" x14ac:dyDescent="0.25">
      <c r="A609" t="s">
        <v>146</v>
      </c>
      <c r="B609" t="s">
        <v>16</v>
      </c>
      <c r="C609" t="s">
        <v>4</v>
      </c>
      <c r="D609" t="s">
        <v>48</v>
      </c>
      <c r="E609">
        <v>100257</v>
      </c>
    </row>
    <row r="610" spans="1:5" x14ac:dyDescent="0.25">
      <c r="A610" t="s">
        <v>146</v>
      </c>
      <c r="B610" t="s">
        <v>16</v>
      </c>
      <c r="C610" t="s">
        <v>5</v>
      </c>
      <c r="D610" t="s">
        <v>48</v>
      </c>
      <c r="E610">
        <v>40116</v>
      </c>
    </row>
    <row r="611" spans="1:5" x14ac:dyDescent="0.25">
      <c r="A611" t="s">
        <v>146</v>
      </c>
      <c r="B611" t="s">
        <v>16</v>
      </c>
      <c r="C611" t="s">
        <v>19</v>
      </c>
      <c r="D611" t="s">
        <v>48</v>
      </c>
      <c r="E611">
        <v>140373</v>
      </c>
    </row>
    <row r="612" spans="1:5" x14ac:dyDescent="0.25">
      <c r="A612" t="s">
        <v>146</v>
      </c>
      <c r="B612" t="s">
        <v>16</v>
      </c>
      <c r="C612" t="s">
        <v>4</v>
      </c>
      <c r="D612" t="s">
        <v>49</v>
      </c>
      <c r="E612">
        <v>440648</v>
      </c>
    </row>
    <row r="613" spans="1:5" x14ac:dyDescent="0.25">
      <c r="A613" t="s">
        <v>146</v>
      </c>
      <c r="B613" t="s">
        <v>16</v>
      </c>
      <c r="C613" t="s">
        <v>18</v>
      </c>
      <c r="D613" t="s">
        <v>49</v>
      </c>
      <c r="E613">
        <v>38814</v>
      </c>
    </row>
    <row r="614" spans="1:5" x14ac:dyDescent="0.25">
      <c r="A614" t="s">
        <v>146</v>
      </c>
      <c r="B614" t="s">
        <v>16</v>
      </c>
      <c r="C614" t="s">
        <v>5</v>
      </c>
      <c r="D614" t="s">
        <v>49</v>
      </c>
      <c r="E614">
        <v>221071</v>
      </c>
    </row>
    <row r="615" spans="1:5" x14ac:dyDescent="0.25">
      <c r="A615" t="s">
        <v>146</v>
      </c>
      <c r="B615" t="s">
        <v>16</v>
      </c>
      <c r="C615" t="s">
        <v>19</v>
      </c>
      <c r="D615" t="s">
        <v>49</v>
      </c>
      <c r="E615">
        <v>700533</v>
      </c>
    </row>
    <row r="616" spans="1:5" x14ac:dyDescent="0.25">
      <c r="A616" t="s">
        <v>146</v>
      </c>
      <c r="B616" t="s">
        <v>16</v>
      </c>
      <c r="C616" t="s">
        <v>4</v>
      </c>
      <c r="D616" t="s">
        <v>50</v>
      </c>
      <c r="E616">
        <v>723</v>
      </c>
    </row>
    <row r="617" spans="1:5" x14ac:dyDescent="0.25">
      <c r="A617" t="s">
        <v>146</v>
      </c>
      <c r="B617" t="s">
        <v>16</v>
      </c>
      <c r="C617" t="s">
        <v>18</v>
      </c>
      <c r="D617" t="s">
        <v>50</v>
      </c>
      <c r="E617">
        <v>13366</v>
      </c>
    </row>
    <row r="618" spans="1:5" x14ac:dyDescent="0.25">
      <c r="A618" t="s">
        <v>146</v>
      </c>
      <c r="B618" t="s">
        <v>16</v>
      </c>
      <c r="C618" t="s">
        <v>5</v>
      </c>
      <c r="D618" t="s">
        <v>50</v>
      </c>
      <c r="E618">
        <v>28294</v>
      </c>
    </row>
    <row r="619" spans="1:5" x14ac:dyDescent="0.25">
      <c r="A619" t="s">
        <v>146</v>
      </c>
      <c r="B619" t="s">
        <v>16</v>
      </c>
      <c r="C619" t="s">
        <v>19</v>
      </c>
      <c r="D619" t="s">
        <v>50</v>
      </c>
      <c r="E619">
        <v>42383</v>
      </c>
    </row>
    <row r="620" spans="1:5" x14ac:dyDescent="0.25">
      <c r="A620" t="s">
        <v>146</v>
      </c>
      <c r="B620" t="s">
        <v>16</v>
      </c>
      <c r="C620" t="s">
        <v>18</v>
      </c>
      <c r="D620" t="s">
        <v>59</v>
      </c>
      <c r="E620" t="s">
        <v>147</v>
      </c>
    </row>
    <row r="621" spans="1:5" x14ac:dyDescent="0.25">
      <c r="A621" t="s">
        <v>146</v>
      </c>
      <c r="B621" t="s">
        <v>16</v>
      </c>
      <c r="C621" t="s">
        <v>4</v>
      </c>
      <c r="D621" t="s">
        <v>59</v>
      </c>
      <c r="E621" t="s">
        <v>148</v>
      </c>
    </row>
    <row r="622" spans="1:5" x14ac:dyDescent="0.25">
      <c r="A622" t="s">
        <v>146</v>
      </c>
      <c r="B622" t="s">
        <v>16</v>
      </c>
      <c r="C622" t="s">
        <v>5</v>
      </c>
      <c r="D622" t="s">
        <v>59</v>
      </c>
      <c r="E622" t="s">
        <v>149</v>
      </c>
    </row>
    <row r="623" spans="1:5" x14ac:dyDescent="0.25">
      <c r="A623" t="s">
        <v>146</v>
      </c>
      <c r="B623" t="s">
        <v>16</v>
      </c>
      <c r="C623" t="s">
        <v>4</v>
      </c>
      <c r="D623" t="s">
        <v>63</v>
      </c>
      <c r="E623" t="s">
        <v>150</v>
      </c>
    </row>
    <row r="624" spans="1:5" x14ac:dyDescent="0.25">
      <c r="A624" t="s">
        <v>146</v>
      </c>
      <c r="B624" t="s">
        <v>16</v>
      </c>
      <c r="C624" t="s">
        <v>18</v>
      </c>
      <c r="D624" t="s">
        <v>63</v>
      </c>
      <c r="E624" t="s">
        <v>151</v>
      </c>
    </row>
    <row r="625" spans="1:5" x14ac:dyDescent="0.25">
      <c r="A625" t="s">
        <v>146</v>
      </c>
      <c r="B625" t="s">
        <v>16</v>
      </c>
      <c r="C625" t="s">
        <v>5</v>
      </c>
      <c r="D625" t="s">
        <v>63</v>
      </c>
      <c r="E625" t="s">
        <v>152</v>
      </c>
    </row>
    <row r="626" spans="1:5" x14ac:dyDescent="0.25">
      <c r="A626" t="s">
        <v>146</v>
      </c>
      <c r="B626" t="s">
        <v>16</v>
      </c>
      <c r="C626" t="s">
        <v>4</v>
      </c>
      <c r="D626" t="s">
        <v>67</v>
      </c>
      <c r="E626" t="s">
        <v>153</v>
      </c>
    </row>
    <row r="627" spans="1:5" x14ac:dyDescent="0.25">
      <c r="A627" t="s">
        <v>146</v>
      </c>
      <c r="B627" t="s">
        <v>16</v>
      </c>
      <c r="C627" t="s">
        <v>18</v>
      </c>
      <c r="D627" t="s">
        <v>67</v>
      </c>
      <c r="E627" t="s">
        <v>154</v>
      </c>
    </row>
    <row r="628" spans="1:5" x14ac:dyDescent="0.25">
      <c r="A628" t="s">
        <v>146</v>
      </c>
      <c r="B628" t="s">
        <v>16</v>
      </c>
      <c r="C628" t="s">
        <v>5</v>
      </c>
      <c r="D628" t="s">
        <v>67</v>
      </c>
      <c r="E628" t="s">
        <v>155</v>
      </c>
    </row>
    <row r="629" spans="1:5" x14ac:dyDescent="0.25">
      <c r="A629" t="s">
        <v>146</v>
      </c>
      <c r="B629" t="s">
        <v>16</v>
      </c>
      <c r="C629" t="s">
        <v>4</v>
      </c>
      <c r="D629" t="s">
        <v>6</v>
      </c>
      <c r="E629">
        <v>11831</v>
      </c>
    </row>
    <row r="630" spans="1:5" x14ac:dyDescent="0.25">
      <c r="A630" t="s">
        <v>146</v>
      </c>
      <c r="B630" t="s">
        <v>16</v>
      </c>
      <c r="C630" t="s">
        <v>18</v>
      </c>
      <c r="D630" t="s">
        <v>6</v>
      </c>
      <c r="E630">
        <v>340</v>
      </c>
    </row>
    <row r="631" spans="1:5" x14ac:dyDescent="0.25">
      <c r="A631" t="s">
        <v>146</v>
      </c>
      <c r="B631" t="s">
        <v>16</v>
      </c>
      <c r="C631" t="s">
        <v>5</v>
      </c>
      <c r="D631" t="s">
        <v>6</v>
      </c>
      <c r="E631">
        <v>2955</v>
      </c>
    </row>
    <row r="632" spans="1:5" x14ac:dyDescent="0.25">
      <c r="A632" t="s">
        <v>146</v>
      </c>
      <c r="B632" t="s">
        <v>16</v>
      </c>
      <c r="C632" t="s">
        <v>19</v>
      </c>
      <c r="D632" t="s">
        <v>6</v>
      </c>
      <c r="E632">
        <v>15126</v>
      </c>
    </row>
    <row r="633" spans="1:5" x14ac:dyDescent="0.25">
      <c r="A633" t="s">
        <v>146</v>
      </c>
      <c r="B633" t="s">
        <v>16</v>
      </c>
      <c r="C633" t="s">
        <v>4</v>
      </c>
      <c r="D633" t="s">
        <v>17</v>
      </c>
      <c r="E633">
        <v>369</v>
      </c>
    </row>
    <row r="634" spans="1:5" x14ac:dyDescent="0.25">
      <c r="A634" t="s">
        <v>146</v>
      </c>
      <c r="B634" t="s">
        <v>16</v>
      </c>
      <c r="C634" t="s">
        <v>18</v>
      </c>
      <c r="D634" t="s">
        <v>17</v>
      </c>
      <c r="E634">
        <v>10</v>
      </c>
    </row>
    <row r="635" spans="1:5" x14ac:dyDescent="0.25">
      <c r="A635" t="s">
        <v>146</v>
      </c>
      <c r="B635" t="s">
        <v>16</v>
      </c>
      <c r="C635" t="s">
        <v>5</v>
      </c>
      <c r="D635" t="s">
        <v>17</v>
      </c>
      <c r="E635">
        <v>55</v>
      </c>
    </row>
    <row r="636" spans="1:5" x14ac:dyDescent="0.25">
      <c r="A636" t="s">
        <v>146</v>
      </c>
      <c r="B636" t="s">
        <v>16</v>
      </c>
      <c r="C636" t="s">
        <v>19</v>
      </c>
      <c r="D636" t="s">
        <v>17</v>
      </c>
      <c r="E636">
        <v>434</v>
      </c>
    </row>
    <row r="637" spans="1:5" x14ac:dyDescent="0.25">
      <c r="A637" t="s">
        <v>146</v>
      </c>
      <c r="B637" t="s">
        <v>16</v>
      </c>
      <c r="C637" t="s">
        <v>4</v>
      </c>
      <c r="D637" t="s">
        <v>29</v>
      </c>
      <c r="E637" t="s">
        <v>122</v>
      </c>
    </row>
    <row r="638" spans="1:5" x14ac:dyDescent="0.25">
      <c r="A638" t="s">
        <v>146</v>
      </c>
      <c r="B638" t="s">
        <v>16</v>
      </c>
      <c r="C638" t="s">
        <v>4</v>
      </c>
      <c r="D638" t="s">
        <v>31</v>
      </c>
      <c r="E638" t="s">
        <v>156</v>
      </c>
    </row>
    <row r="639" spans="1:5" x14ac:dyDescent="0.25">
      <c r="A639" t="s">
        <v>146</v>
      </c>
      <c r="B639" t="s">
        <v>16</v>
      </c>
      <c r="C639" t="s">
        <v>5</v>
      </c>
      <c r="D639" t="s">
        <v>31</v>
      </c>
      <c r="E639" t="s">
        <v>157</v>
      </c>
    </row>
    <row r="640" spans="1:5" x14ac:dyDescent="0.25">
      <c r="A640" t="s">
        <v>146</v>
      </c>
      <c r="B640" t="s">
        <v>16</v>
      </c>
      <c r="C640" t="s">
        <v>4</v>
      </c>
      <c r="D640" t="s">
        <v>34</v>
      </c>
      <c r="E640" t="s">
        <v>141</v>
      </c>
    </row>
    <row r="641" spans="1:5" x14ac:dyDescent="0.25">
      <c r="A641" t="s">
        <v>146</v>
      </c>
      <c r="B641" t="s">
        <v>16</v>
      </c>
      <c r="C641" t="s">
        <v>18</v>
      </c>
      <c r="D641" t="s">
        <v>34</v>
      </c>
      <c r="E641" t="s">
        <v>53</v>
      </c>
    </row>
    <row r="642" spans="1:5" x14ac:dyDescent="0.25">
      <c r="A642" t="s">
        <v>146</v>
      </c>
      <c r="B642" t="s">
        <v>16</v>
      </c>
      <c r="C642" t="s">
        <v>5</v>
      </c>
      <c r="D642" t="s">
        <v>34</v>
      </c>
      <c r="E642" t="s">
        <v>158</v>
      </c>
    </row>
    <row r="643" spans="1:5" x14ac:dyDescent="0.25">
      <c r="A643" t="s">
        <v>146</v>
      </c>
      <c r="B643" t="s">
        <v>16</v>
      </c>
      <c r="C643" t="s">
        <v>4</v>
      </c>
      <c r="D643" t="s">
        <v>38</v>
      </c>
      <c r="E643" t="s">
        <v>159</v>
      </c>
    </row>
    <row r="644" spans="1:5" x14ac:dyDescent="0.25">
      <c r="A644" t="s">
        <v>146</v>
      </c>
      <c r="B644" t="s">
        <v>16</v>
      </c>
      <c r="C644" t="s">
        <v>18</v>
      </c>
      <c r="D644" t="s">
        <v>38</v>
      </c>
      <c r="E644" t="s">
        <v>160</v>
      </c>
    </row>
    <row r="645" spans="1:5" x14ac:dyDescent="0.25">
      <c r="A645" t="s">
        <v>146</v>
      </c>
      <c r="B645" t="s">
        <v>16</v>
      </c>
      <c r="C645" t="s">
        <v>5</v>
      </c>
      <c r="D645" t="s">
        <v>38</v>
      </c>
      <c r="E645" t="s">
        <v>161</v>
      </c>
    </row>
    <row r="646" spans="1:5" x14ac:dyDescent="0.25">
      <c r="A646" t="s">
        <v>146</v>
      </c>
      <c r="B646" t="s">
        <v>16</v>
      </c>
      <c r="C646" t="s">
        <v>4</v>
      </c>
      <c r="D646" t="s">
        <v>79</v>
      </c>
      <c r="E646">
        <v>370342</v>
      </c>
    </row>
    <row r="647" spans="1:5" x14ac:dyDescent="0.25">
      <c r="A647" t="s">
        <v>146</v>
      </c>
      <c r="B647" t="s">
        <v>16</v>
      </c>
      <c r="C647" t="s">
        <v>18</v>
      </c>
      <c r="D647" t="s">
        <v>79</v>
      </c>
      <c r="E647">
        <v>30530</v>
      </c>
    </row>
    <row r="648" spans="1:5" x14ac:dyDescent="0.25">
      <c r="A648" t="s">
        <v>146</v>
      </c>
      <c r="B648" t="s">
        <v>16</v>
      </c>
      <c r="C648" t="s">
        <v>5</v>
      </c>
      <c r="D648" t="s">
        <v>79</v>
      </c>
      <c r="E648">
        <v>366722</v>
      </c>
    </row>
    <row r="649" spans="1:5" x14ac:dyDescent="0.25">
      <c r="A649" t="s">
        <v>146</v>
      </c>
      <c r="B649" t="s">
        <v>16</v>
      </c>
      <c r="C649" t="s">
        <v>19</v>
      </c>
      <c r="D649" t="s">
        <v>79</v>
      </c>
      <c r="E649">
        <v>767594</v>
      </c>
    </row>
    <row r="650" spans="1:5" x14ac:dyDescent="0.25">
      <c r="A650" t="s">
        <v>146</v>
      </c>
      <c r="B650" t="s">
        <v>16</v>
      </c>
      <c r="C650" t="s">
        <v>4</v>
      </c>
      <c r="D650" t="s">
        <v>20</v>
      </c>
      <c r="E650">
        <v>7909</v>
      </c>
    </row>
    <row r="651" spans="1:5" x14ac:dyDescent="0.25">
      <c r="A651" t="s">
        <v>146</v>
      </c>
      <c r="B651" t="s">
        <v>16</v>
      </c>
      <c r="C651" t="s">
        <v>18</v>
      </c>
      <c r="D651" t="s">
        <v>20</v>
      </c>
      <c r="E651">
        <v>553</v>
      </c>
    </row>
    <row r="652" spans="1:5" x14ac:dyDescent="0.25">
      <c r="A652" t="s">
        <v>146</v>
      </c>
      <c r="B652" t="s">
        <v>16</v>
      </c>
      <c r="C652" t="s">
        <v>5</v>
      </c>
      <c r="D652" t="s">
        <v>20</v>
      </c>
      <c r="E652">
        <v>3028</v>
      </c>
    </row>
    <row r="653" spans="1:5" x14ac:dyDescent="0.25">
      <c r="A653" t="s">
        <v>146</v>
      </c>
      <c r="B653" t="s">
        <v>16</v>
      </c>
      <c r="C653" t="s">
        <v>19</v>
      </c>
      <c r="D653" t="s">
        <v>20</v>
      </c>
      <c r="E653">
        <v>11490</v>
      </c>
    </row>
    <row r="654" spans="1:5" x14ac:dyDescent="0.25">
      <c r="A654" t="s">
        <v>146</v>
      </c>
      <c r="B654" t="s">
        <v>16</v>
      </c>
      <c r="C654" t="s">
        <v>4</v>
      </c>
      <c r="D654" t="s">
        <v>42</v>
      </c>
      <c r="E654">
        <v>394</v>
      </c>
    </row>
    <row r="655" spans="1:5" x14ac:dyDescent="0.25">
      <c r="A655" t="s">
        <v>146</v>
      </c>
      <c r="B655" t="s">
        <v>16</v>
      </c>
      <c r="C655" t="s">
        <v>19</v>
      </c>
      <c r="D655" t="s">
        <v>42</v>
      </c>
      <c r="E655">
        <v>394</v>
      </c>
    </row>
    <row r="656" spans="1:5" x14ac:dyDescent="0.25">
      <c r="A656" t="s">
        <v>146</v>
      </c>
      <c r="B656" t="s">
        <v>16</v>
      </c>
      <c r="C656" t="s">
        <v>4</v>
      </c>
      <c r="D656" t="s">
        <v>43</v>
      </c>
      <c r="E656">
        <v>1996</v>
      </c>
    </row>
    <row r="657" spans="1:5" x14ac:dyDescent="0.25">
      <c r="A657" t="s">
        <v>146</v>
      </c>
      <c r="B657" t="s">
        <v>16</v>
      </c>
      <c r="C657" t="s">
        <v>5</v>
      </c>
      <c r="D657" t="s">
        <v>43</v>
      </c>
      <c r="E657">
        <v>587</v>
      </c>
    </row>
    <row r="658" spans="1:5" x14ac:dyDescent="0.25">
      <c r="A658" t="s">
        <v>146</v>
      </c>
      <c r="B658" t="s">
        <v>16</v>
      </c>
      <c r="C658" t="s">
        <v>19</v>
      </c>
      <c r="D658" t="s">
        <v>43</v>
      </c>
      <c r="E658">
        <v>2583</v>
      </c>
    </row>
    <row r="659" spans="1:5" x14ac:dyDescent="0.25">
      <c r="A659" t="s">
        <v>146</v>
      </c>
      <c r="B659" t="s">
        <v>16</v>
      </c>
      <c r="C659" t="s">
        <v>4</v>
      </c>
      <c r="D659" t="s">
        <v>44</v>
      </c>
      <c r="E659">
        <v>5519</v>
      </c>
    </row>
    <row r="660" spans="1:5" x14ac:dyDescent="0.25">
      <c r="A660" t="s">
        <v>146</v>
      </c>
      <c r="B660" t="s">
        <v>16</v>
      </c>
      <c r="C660" t="s">
        <v>18</v>
      </c>
      <c r="D660" t="s">
        <v>44</v>
      </c>
      <c r="E660">
        <v>553</v>
      </c>
    </row>
    <row r="661" spans="1:5" x14ac:dyDescent="0.25">
      <c r="A661" t="s">
        <v>146</v>
      </c>
      <c r="B661" t="s">
        <v>16</v>
      </c>
      <c r="C661" t="s">
        <v>5</v>
      </c>
      <c r="D661" t="s">
        <v>44</v>
      </c>
      <c r="E661">
        <v>2441</v>
      </c>
    </row>
    <row r="662" spans="1:5" x14ac:dyDescent="0.25">
      <c r="A662" t="s">
        <v>146</v>
      </c>
      <c r="B662" t="s">
        <v>16</v>
      </c>
      <c r="C662" t="s">
        <v>19</v>
      </c>
      <c r="D662" t="s">
        <v>44</v>
      </c>
      <c r="E662">
        <v>8513</v>
      </c>
    </row>
    <row r="663" spans="1:5" x14ac:dyDescent="0.25">
      <c r="A663" t="s">
        <v>146</v>
      </c>
      <c r="B663" t="s">
        <v>16</v>
      </c>
      <c r="C663" t="s">
        <v>4</v>
      </c>
      <c r="D663" t="s">
        <v>21</v>
      </c>
      <c r="E663">
        <v>0.94625289930416701</v>
      </c>
    </row>
    <row r="664" spans="1:5" x14ac:dyDescent="0.25">
      <c r="A664" t="s">
        <v>146</v>
      </c>
      <c r="B664" t="s">
        <v>16</v>
      </c>
      <c r="C664" t="s">
        <v>18</v>
      </c>
      <c r="D664" t="s">
        <v>21</v>
      </c>
      <c r="E664">
        <v>0.407673860911271</v>
      </c>
    </row>
    <row r="665" spans="1:5" x14ac:dyDescent="0.25">
      <c r="A665" t="s">
        <v>146</v>
      </c>
      <c r="B665" t="s">
        <v>16</v>
      </c>
      <c r="C665" t="s">
        <v>5</v>
      </c>
      <c r="D665" t="s">
        <v>21</v>
      </c>
      <c r="E665">
        <v>0.96663395485770365</v>
      </c>
    </row>
    <row r="666" spans="1:5" x14ac:dyDescent="0.25">
      <c r="A666" t="s">
        <v>146</v>
      </c>
      <c r="B666" t="s">
        <v>16</v>
      </c>
      <c r="C666" t="s">
        <v>19</v>
      </c>
      <c r="D666" t="s">
        <v>21</v>
      </c>
      <c r="E666">
        <v>2.3205607150731415</v>
      </c>
    </row>
    <row r="667" spans="1:5" x14ac:dyDescent="0.25">
      <c r="A667" t="s">
        <v>146</v>
      </c>
      <c r="B667" t="s">
        <v>16</v>
      </c>
      <c r="C667" t="s">
        <v>4</v>
      </c>
      <c r="D667" t="s">
        <v>22</v>
      </c>
      <c r="E667">
        <v>0.1174118211629209</v>
      </c>
    </row>
    <row r="668" spans="1:5" x14ac:dyDescent="0.25">
      <c r="A668" t="s">
        <v>146</v>
      </c>
      <c r="B668" t="s">
        <v>16</v>
      </c>
      <c r="C668" t="s">
        <v>18</v>
      </c>
      <c r="D668" t="s">
        <v>22</v>
      </c>
      <c r="E668">
        <v>0.17985611510791366</v>
      </c>
    </row>
    <row r="669" spans="1:5" x14ac:dyDescent="0.25">
      <c r="A669" t="s">
        <v>146</v>
      </c>
      <c r="B669" t="s">
        <v>16</v>
      </c>
      <c r="C669" t="s">
        <v>5</v>
      </c>
      <c r="D669" t="s">
        <v>22</v>
      </c>
      <c r="E669">
        <v>0.10533202486097482</v>
      </c>
    </row>
    <row r="670" spans="1:5" x14ac:dyDescent="0.25">
      <c r="A670" t="s">
        <v>146</v>
      </c>
      <c r="B670" t="s">
        <v>16</v>
      </c>
      <c r="C670" t="s">
        <v>19</v>
      </c>
      <c r="D670" t="s">
        <v>22</v>
      </c>
      <c r="E670">
        <v>0.4025999611318094</v>
      </c>
    </row>
    <row r="671" spans="1:5" x14ac:dyDescent="0.25">
      <c r="A671" t="s">
        <v>146</v>
      </c>
      <c r="B671" t="s">
        <v>16</v>
      </c>
      <c r="C671" t="s">
        <v>4</v>
      </c>
      <c r="D671" t="s">
        <v>23</v>
      </c>
      <c r="E671">
        <v>0.17035911381268495</v>
      </c>
    </row>
    <row r="672" spans="1:5" x14ac:dyDescent="0.25">
      <c r="A672" t="s">
        <v>146</v>
      </c>
      <c r="B672" t="s">
        <v>16</v>
      </c>
      <c r="C672" t="s">
        <v>18</v>
      </c>
      <c r="D672" t="s">
        <v>23</v>
      </c>
      <c r="E672">
        <v>0.2733812949640288</v>
      </c>
    </row>
    <row r="673" spans="1:5" x14ac:dyDescent="0.25">
      <c r="A673" t="s">
        <v>146</v>
      </c>
      <c r="B673" t="s">
        <v>16</v>
      </c>
      <c r="C673" t="s">
        <v>5</v>
      </c>
      <c r="D673" t="s">
        <v>23</v>
      </c>
      <c r="E673">
        <v>0.16454039908406934</v>
      </c>
    </row>
    <row r="674" spans="1:5" x14ac:dyDescent="0.25">
      <c r="A674" t="s">
        <v>146</v>
      </c>
      <c r="B674" t="s">
        <v>16</v>
      </c>
      <c r="C674" t="s">
        <v>19</v>
      </c>
      <c r="D674" t="s">
        <v>23</v>
      </c>
      <c r="E674">
        <v>0.60828080786078309</v>
      </c>
    </row>
    <row r="675" spans="1:5" x14ac:dyDescent="0.25">
      <c r="A675" t="s">
        <v>146</v>
      </c>
      <c r="B675" t="s">
        <v>16</v>
      </c>
      <c r="C675" t="s">
        <v>4</v>
      </c>
      <c r="D675" t="s">
        <v>621</v>
      </c>
      <c r="E675">
        <v>0.71222906502439409</v>
      </c>
    </row>
    <row r="676" spans="1:5" x14ac:dyDescent="0.25">
      <c r="A676" t="s">
        <v>146</v>
      </c>
      <c r="B676" t="s">
        <v>16</v>
      </c>
      <c r="C676" t="s">
        <v>18</v>
      </c>
      <c r="D676" t="s">
        <v>621</v>
      </c>
      <c r="E676">
        <v>0.5467625899280576</v>
      </c>
    </row>
    <row r="677" spans="1:5" x14ac:dyDescent="0.25">
      <c r="A677" t="s">
        <v>146</v>
      </c>
      <c r="B677" t="s">
        <v>16</v>
      </c>
      <c r="C677" t="s">
        <v>5</v>
      </c>
      <c r="D677" t="s">
        <v>621</v>
      </c>
      <c r="E677">
        <v>0.73012757605495582</v>
      </c>
    </row>
    <row r="678" spans="1:5" x14ac:dyDescent="0.25">
      <c r="A678" t="s">
        <v>146</v>
      </c>
      <c r="B678" t="s">
        <v>16</v>
      </c>
      <c r="C678" t="s">
        <v>19</v>
      </c>
      <c r="D678" t="s">
        <v>621</v>
      </c>
      <c r="E678">
        <v>1.9891192310074075</v>
      </c>
    </row>
    <row r="679" spans="1:5" x14ac:dyDescent="0.25">
      <c r="A679" t="s">
        <v>146</v>
      </c>
      <c r="B679" t="s">
        <v>16</v>
      </c>
      <c r="C679" t="s">
        <v>4</v>
      </c>
      <c r="D679" t="s">
        <v>24</v>
      </c>
      <c r="E679">
        <v>389.04000000000025</v>
      </c>
    </row>
    <row r="680" spans="1:5" x14ac:dyDescent="0.25">
      <c r="A680" t="s">
        <v>146</v>
      </c>
      <c r="B680" t="s">
        <v>16</v>
      </c>
      <c r="C680" t="s">
        <v>18</v>
      </c>
      <c r="D680" t="s">
        <v>24</v>
      </c>
      <c r="E680">
        <v>62.599999999999994</v>
      </c>
    </row>
    <row r="681" spans="1:5" x14ac:dyDescent="0.25">
      <c r="A681" t="s">
        <v>146</v>
      </c>
      <c r="B681" t="s">
        <v>16</v>
      </c>
      <c r="C681" t="s">
        <v>5</v>
      </c>
      <c r="D681" t="s">
        <v>24</v>
      </c>
      <c r="E681">
        <v>165.61</v>
      </c>
    </row>
    <row r="682" spans="1:5" x14ac:dyDescent="0.25">
      <c r="A682" t="s">
        <v>146</v>
      </c>
      <c r="B682" t="s">
        <v>16</v>
      </c>
      <c r="C682" t="s">
        <v>19</v>
      </c>
      <c r="D682" t="s">
        <v>24</v>
      </c>
      <c r="E682">
        <v>617.25000000000023</v>
      </c>
    </row>
    <row r="683" spans="1:5" x14ac:dyDescent="0.25">
      <c r="A683" t="s">
        <v>146</v>
      </c>
      <c r="B683" t="s">
        <v>16</v>
      </c>
      <c r="C683" t="s">
        <v>19</v>
      </c>
      <c r="D683" t="s">
        <v>45</v>
      </c>
      <c r="E683">
        <v>1884040</v>
      </c>
    </row>
    <row r="684" spans="1:5" x14ac:dyDescent="0.25">
      <c r="A684" t="s">
        <v>146</v>
      </c>
      <c r="B684" t="s">
        <v>16</v>
      </c>
      <c r="C684" t="s">
        <v>19</v>
      </c>
      <c r="D684" t="s">
        <v>46</v>
      </c>
      <c r="E684">
        <v>35162</v>
      </c>
    </row>
    <row r="685" spans="1:5" x14ac:dyDescent="0.25">
      <c r="A685" t="s">
        <v>162</v>
      </c>
      <c r="B685" t="s">
        <v>16</v>
      </c>
      <c r="C685" t="s">
        <v>4</v>
      </c>
      <c r="D685" t="s">
        <v>48</v>
      </c>
      <c r="E685">
        <v>96799</v>
      </c>
    </row>
    <row r="686" spans="1:5" x14ac:dyDescent="0.25">
      <c r="A686" t="s">
        <v>162</v>
      </c>
      <c r="B686" t="s">
        <v>16</v>
      </c>
      <c r="C686" t="s">
        <v>5</v>
      </c>
      <c r="D686" t="s">
        <v>48</v>
      </c>
      <c r="E686">
        <v>36765</v>
      </c>
    </row>
    <row r="687" spans="1:5" x14ac:dyDescent="0.25">
      <c r="A687" t="s">
        <v>162</v>
      </c>
      <c r="B687" t="s">
        <v>16</v>
      </c>
      <c r="C687" t="s">
        <v>19</v>
      </c>
      <c r="D687" t="s">
        <v>48</v>
      </c>
      <c r="E687">
        <v>133564</v>
      </c>
    </row>
    <row r="688" spans="1:5" x14ac:dyDescent="0.25">
      <c r="A688" t="s">
        <v>162</v>
      </c>
      <c r="B688" t="s">
        <v>16</v>
      </c>
      <c r="C688" t="s">
        <v>4</v>
      </c>
      <c r="D688" t="s">
        <v>49</v>
      </c>
      <c r="E688">
        <v>456882</v>
      </c>
    </row>
    <row r="689" spans="1:5" x14ac:dyDescent="0.25">
      <c r="A689" t="s">
        <v>162</v>
      </c>
      <c r="B689" t="s">
        <v>16</v>
      </c>
      <c r="C689" t="s">
        <v>18</v>
      </c>
      <c r="D689" t="s">
        <v>49</v>
      </c>
      <c r="E689">
        <v>45381</v>
      </c>
    </row>
    <row r="690" spans="1:5" x14ac:dyDescent="0.25">
      <c r="A690" t="s">
        <v>162</v>
      </c>
      <c r="B690" t="s">
        <v>16</v>
      </c>
      <c r="C690" t="s">
        <v>5</v>
      </c>
      <c r="D690" t="s">
        <v>49</v>
      </c>
      <c r="E690">
        <v>218089</v>
      </c>
    </row>
    <row r="691" spans="1:5" x14ac:dyDescent="0.25">
      <c r="A691" t="s">
        <v>162</v>
      </c>
      <c r="B691" t="s">
        <v>16</v>
      </c>
      <c r="C691" t="s">
        <v>19</v>
      </c>
      <c r="D691" t="s">
        <v>49</v>
      </c>
      <c r="E691">
        <v>720352</v>
      </c>
    </row>
    <row r="692" spans="1:5" x14ac:dyDescent="0.25">
      <c r="A692" t="s">
        <v>162</v>
      </c>
      <c r="B692" t="s">
        <v>16</v>
      </c>
      <c r="C692" t="s">
        <v>4</v>
      </c>
      <c r="D692" t="s">
        <v>50</v>
      </c>
      <c r="E692">
        <v>1775</v>
      </c>
    </row>
    <row r="693" spans="1:5" x14ac:dyDescent="0.25">
      <c r="A693" t="s">
        <v>162</v>
      </c>
      <c r="B693" t="s">
        <v>16</v>
      </c>
      <c r="C693" t="s">
        <v>18</v>
      </c>
      <c r="D693" t="s">
        <v>50</v>
      </c>
      <c r="E693">
        <v>14000</v>
      </c>
    </row>
    <row r="694" spans="1:5" x14ac:dyDescent="0.25">
      <c r="A694" t="s">
        <v>162</v>
      </c>
      <c r="B694" t="s">
        <v>16</v>
      </c>
      <c r="C694" t="s">
        <v>5</v>
      </c>
      <c r="D694" t="s">
        <v>50</v>
      </c>
      <c r="E694">
        <v>26066</v>
      </c>
    </row>
    <row r="695" spans="1:5" x14ac:dyDescent="0.25">
      <c r="A695" t="s">
        <v>162</v>
      </c>
      <c r="B695" t="s">
        <v>16</v>
      </c>
      <c r="C695" t="s">
        <v>19</v>
      </c>
      <c r="D695" t="s">
        <v>50</v>
      </c>
      <c r="E695">
        <v>41841</v>
      </c>
    </row>
    <row r="696" spans="1:5" x14ac:dyDescent="0.25">
      <c r="A696" t="s">
        <v>162</v>
      </c>
      <c r="B696" t="s">
        <v>16</v>
      </c>
      <c r="C696" t="s">
        <v>18</v>
      </c>
      <c r="D696" t="s">
        <v>59</v>
      </c>
      <c r="E696" t="s">
        <v>163</v>
      </c>
    </row>
    <row r="697" spans="1:5" x14ac:dyDescent="0.25">
      <c r="A697" t="s">
        <v>162</v>
      </c>
      <c r="B697" t="s">
        <v>16</v>
      </c>
      <c r="C697" t="s">
        <v>4</v>
      </c>
      <c r="D697" t="s">
        <v>59</v>
      </c>
      <c r="E697" t="s">
        <v>164</v>
      </c>
    </row>
    <row r="698" spans="1:5" x14ac:dyDescent="0.25">
      <c r="A698" t="s">
        <v>162</v>
      </c>
      <c r="B698" t="s">
        <v>16</v>
      </c>
      <c r="C698" t="s">
        <v>5</v>
      </c>
      <c r="D698" t="s">
        <v>59</v>
      </c>
      <c r="E698" t="s">
        <v>165</v>
      </c>
    </row>
    <row r="699" spans="1:5" x14ac:dyDescent="0.25">
      <c r="A699" t="s">
        <v>162</v>
      </c>
      <c r="B699" t="s">
        <v>16</v>
      </c>
      <c r="C699" t="s">
        <v>4</v>
      </c>
      <c r="D699" t="s">
        <v>63</v>
      </c>
      <c r="E699" t="s">
        <v>166</v>
      </c>
    </row>
    <row r="700" spans="1:5" x14ac:dyDescent="0.25">
      <c r="A700" t="s">
        <v>162</v>
      </c>
      <c r="B700" t="s">
        <v>16</v>
      </c>
      <c r="C700" t="s">
        <v>18</v>
      </c>
      <c r="D700" t="s">
        <v>63</v>
      </c>
      <c r="E700" t="s">
        <v>167</v>
      </c>
    </row>
    <row r="701" spans="1:5" x14ac:dyDescent="0.25">
      <c r="A701" t="s">
        <v>162</v>
      </c>
      <c r="B701" t="s">
        <v>16</v>
      </c>
      <c r="C701" t="s">
        <v>5</v>
      </c>
      <c r="D701" t="s">
        <v>63</v>
      </c>
      <c r="E701" t="s">
        <v>168</v>
      </c>
    </row>
    <row r="702" spans="1:5" x14ac:dyDescent="0.25">
      <c r="A702" t="s">
        <v>162</v>
      </c>
      <c r="B702" t="s">
        <v>16</v>
      </c>
      <c r="C702" t="s">
        <v>4</v>
      </c>
      <c r="D702" t="s">
        <v>67</v>
      </c>
      <c r="E702" t="s">
        <v>169</v>
      </c>
    </row>
    <row r="703" spans="1:5" x14ac:dyDescent="0.25">
      <c r="A703" t="s">
        <v>162</v>
      </c>
      <c r="B703" t="s">
        <v>16</v>
      </c>
      <c r="C703" t="s">
        <v>18</v>
      </c>
      <c r="D703" t="s">
        <v>67</v>
      </c>
      <c r="E703" t="s">
        <v>170</v>
      </c>
    </row>
    <row r="704" spans="1:5" x14ac:dyDescent="0.25">
      <c r="A704" t="s">
        <v>162</v>
      </c>
      <c r="B704" t="s">
        <v>16</v>
      </c>
      <c r="C704" t="s">
        <v>5</v>
      </c>
      <c r="D704" t="s">
        <v>67</v>
      </c>
      <c r="E704" t="s">
        <v>171</v>
      </c>
    </row>
    <row r="705" spans="1:5" x14ac:dyDescent="0.25">
      <c r="A705" t="s">
        <v>162</v>
      </c>
      <c r="B705" t="s">
        <v>16</v>
      </c>
      <c r="C705" t="s">
        <v>4</v>
      </c>
      <c r="D705" t="s">
        <v>6</v>
      </c>
      <c r="E705">
        <v>11986</v>
      </c>
    </row>
    <row r="706" spans="1:5" x14ac:dyDescent="0.25">
      <c r="A706" t="s">
        <v>162</v>
      </c>
      <c r="B706" t="s">
        <v>16</v>
      </c>
      <c r="C706" t="s">
        <v>18</v>
      </c>
      <c r="D706" t="s">
        <v>6</v>
      </c>
      <c r="E706">
        <v>354</v>
      </c>
    </row>
    <row r="707" spans="1:5" x14ac:dyDescent="0.25">
      <c r="A707" t="s">
        <v>162</v>
      </c>
      <c r="B707" t="s">
        <v>16</v>
      </c>
      <c r="C707" t="s">
        <v>5</v>
      </c>
      <c r="D707" t="s">
        <v>6</v>
      </c>
      <c r="E707">
        <v>3005</v>
      </c>
    </row>
    <row r="708" spans="1:5" x14ac:dyDescent="0.25">
      <c r="A708" t="s">
        <v>162</v>
      </c>
      <c r="B708" t="s">
        <v>16</v>
      </c>
      <c r="C708" t="s">
        <v>19</v>
      </c>
      <c r="D708" t="s">
        <v>6</v>
      </c>
      <c r="E708">
        <v>15345</v>
      </c>
    </row>
    <row r="709" spans="1:5" x14ac:dyDescent="0.25">
      <c r="A709" t="s">
        <v>162</v>
      </c>
      <c r="B709" t="s">
        <v>16</v>
      </c>
      <c r="C709" t="s">
        <v>4</v>
      </c>
      <c r="D709" t="s">
        <v>17</v>
      </c>
      <c r="E709">
        <v>720</v>
      </c>
    </row>
    <row r="710" spans="1:5" x14ac:dyDescent="0.25">
      <c r="A710" t="s">
        <v>162</v>
      </c>
      <c r="B710" t="s">
        <v>16</v>
      </c>
      <c r="C710" t="s">
        <v>18</v>
      </c>
      <c r="D710" t="s">
        <v>17</v>
      </c>
      <c r="E710">
        <v>13</v>
      </c>
    </row>
    <row r="711" spans="1:5" x14ac:dyDescent="0.25">
      <c r="A711" t="s">
        <v>162</v>
      </c>
      <c r="B711" t="s">
        <v>16</v>
      </c>
      <c r="C711" t="s">
        <v>5</v>
      </c>
      <c r="D711" t="s">
        <v>17</v>
      </c>
      <c r="E711">
        <v>130</v>
      </c>
    </row>
    <row r="712" spans="1:5" x14ac:dyDescent="0.25">
      <c r="A712" t="s">
        <v>162</v>
      </c>
      <c r="B712" t="s">
        <v>16</v>
      </c>
      <c r="C712" t="s">
        <v>19</v>
      </c>
      <c r="D712" t="s">
        <v>17</v>
      </c>
      <c r="E712">
        <v>863</v>
      </c>
    </row>
    <row r="713" spans="1:5" x14ac:dyDescent="0.25">
      <c r="A713" t="s">
        <v>162</v>
      </c>
      <c r="B713" t="s">
        <v>16</v>
      </c>
      <c r="C713" t="s">
        <v>4</v>
      </c>
      <c r="D713" t="s">
        <v>29</v>
      </c>
      <c r="E713" t="s">
        <v>122</v>
      </c>
    </row>
    <row r="714" spans="1:5" x14ac:dyDescent="0.25">
      <c r="A714" t="s">
        <v>162</v>
      </c>
      <c r="B714" t="s">
        <v>16</v>
      </c>
      <c r="C714" t="s">
        <v>4</v>
      </c>
      <c r="D714" t="s">
        <v>31</v>
      </c>
      <c r="E714" t="s">
        <v>172</v>
      </c>
    </row>
    <row r="715" spans="1:5" x14ac:dyDescent="0.25">
      <c r="A715" t="s">
        <v>162</v>
      </c>
      <c r="B715" t="s">
        <v>16</v>
      </c>
      <c r="C715" t="s">
        <v>5</v>
      </c>
      <c r="D715" t="s">
        <v>31</v>
      </c>
      <c r="E715" t="s">
        <v>33</v>
      </c>
    </row>
    <row r="716" spans="1:5" x14ac:dyDescent="0.25">
      <c r="A716" t="s">
        <v>162</v>
      </c>
      <c r="B716" t="s">
        <v>16</v>
      </c>
      <c r="C716" t="s">
        <v>4</v>
      </c>
      <c r="D716" t="s">
        <v>34</v>
      </c>
      <c r="E716" t="s">
        <v>173</v>
      </c>
    </row>
    <row r="717" spans="1:5" x14ac:dyDescent="0.25">
      <c r="A717" t="s">
        <v>162</v>
      </c>
      <c r="B717" t="s">
        <v>16</v>
      </c>
      <c r="C717" t="s">
        <v>18</v>
      </c>
      <c r="D717" t="s">
        <v>34</v>
      </c>
      <c r="E717" t="s">
        <v>174</v>
      </c>
    </row>
    <row r="718" spans="1:5" x14ac:dyDescent="0.25">
      <c r="A718" t="s">
        <v>162</v>
      </c>
      <c r="B718" t="s">
        <v>16</v>
      </c>
      <c r="C718" t="s">
        <v>5</v>
      </c>
      <c r="D718" t="s">
        <v>34</v>
      </c>
      <c r="E718" t="s">
        <v>175</v>
      </c>
    </row>
    <row r="719" spans="1:5" x14ac:dyDescent="0.25">
      <c r="A719" t="s">
        <v>162</v>
      </c>
      <c r="B719" t="s">
        <v>16</v>
      </c>
      <c r="C719" t="s">
        <v>4</v>
      </c>
      <c r="D719" t="s">
        <v>38</v>
      </c>
      <c r="E719" t="s">
        <v>176</v>
      </c>
    </row>
    <row r="720" spans="1:5" x14ac:dyDescent="0.25">
      <c r="A720" t="s">
        <v>162</v>
      </c>
      <c r="B720" t="s">
        <v>16</v>
      </c>
      <c r="C720" t="s">
        <v>18</v>
      </c>
      <c r="D720" t="s">
        <v>38</v>
      </c>
      <c r="E720" t="s">
        <v>177</v>
      </c>
    </row>
    <row r="721" spans="1:5" x14ac:dyDescent="0.25">
      <c r="A721" t="s">
        <v>162</v>
      </c>
      <c r="B721" t="s">
        <v>16</v>
      </c>
      <c r="C721" t="s">
        <v>5</v>
      </c>
      <c r="D721" t="s">
        <v>38</v>
      </c>
      <c r="E721" t="s">
        <v>178</v>
      </c>
    </row>
    <row r="722" spans="1:5" x14ac:dyDescent="0.25">
      <c r="A722" t="s">
        <v>162</v>
      </c>
      <c r="B722" t="s">
        <v>16</v>
      </c>
      <c r="C722" t="s">
        <v>4</v>
      </c>
      <c r="D722" t="s">
        <v>79</v>
      </c>
      <c r="E722">
        <v>534200</v>
      </c>
    </row>
    <row r="723" spans="1:5" x14ac:dyDescent="0.25">
      <c r="A723" t="s">
        <v>162</v>
      </c>
      <c r="B723" t="s">
        <v>16</v>
      </c>
      <c r="C723" t="s">
        <v>18</v>
      </c>
      <c r="D723" t="s">
        <v>79</v>
      </c>
      <c r="E723">
        <v>32960</v>
      </c>
    </row>
    <row r="724" spans="1:5" x14ac:dyDescent="0.25">
      <c r="A724" t="s">
        <v>162</v>
      </c>
      <c r="B724" t="s">
        <v>16</v>
      </c>
      <c r="C724" t="s">
        <v>5</v>
      </c>
      <c r="D724" t="s">
        <v>79</v>
      </c>
      <c r="E724">
        <v>372412</v>
      </c>
    </row>
    <row r="725" spans="1:5" x14ac:dyDescent="0.25">
      <c r="A725" t="s">
        <v>162</v>
      </c>
      <c r="B725" t="s">
        <v>16</v>
      </c>
      <c r="C725" t="s">
        <v>19</v>
      </c>
      <c r="D725" t="s">
        <v>79</v>
      </c>
      <c r="E725">
        <v>939572</v>
      </c>
    </row>
    <row r="726" spans="1:5" x14ac:dyDescent="0.25">
      <c r="A726" t="s">
        <v>162</v>
      </c>
      <c r="B726" t="s">
        <v>16</v>
      </c>
      <c r="C726" t="s">
        <v>4</v>
      </c>
      <c r="D726" t="s">
        <v>20</v>
      </c>
      <c r="E726">
        <v>7782</v>
      </c>
    </row>
    <row r="727" spans="1:5" x14ac:dyDescent="0.25">
      <c r="A727" t="s">
        <v>162</v>
      </c>
      <c r="B727" t="s">
        <v>16</v>
      </c>
      <c r="C727" t="s">
        <v>18</v>
      </c>
      <c r="D727" t="s">
        <v>20</v>
      </c>
      <c r="E727">
        <v>692</v>
      </c>
    </row>
    <row r="728" spans="1:5" x14ac:dyDescent="0.25">
      <c r="A728" t="s">
        <v>162</v>
      </c>
      <c r="B728" t="s">
        <v>16</v>
      </c>
      <c r="C728" t="s">
        <v>5</v>
      </c>
      <c r="D728" t="s">
        <v>20</v>
      </c>
      <c r="E728">
        <v>2351</v>
      </c>
    </row>
    <row r="729" spans="1:5" x14ac:dyDescent="0.25">
      <c r="A729" t="s">
        <v>162</v>
      </c>
      <c r="B729" t="s">
        <v>16</v>
      </c>
      <c r="C729" t="s">
        <v>19</v>
      </c>
      <c r="D729" t="s">
        <v>20</v>
      </c>
      <c r="E729">
        <v>10825</v>
      </c>
    </row>
    <row r="730" spans="1:5" x14ac:dyDescent="0.25">
      <c r="A730" t="s">
        <v>162</v>
      </c>
      <c r="B730" t="s">
        <v>16</v>
      </c>
      <c r="C730" t="s">
        <v>4</v>
      </c>
      <c r="D730" t="s">
        <v>42</v>
      </c>
      <c r="E730">
        <v>318</v>
      </c>
    </row>
    <row r="731" spans="1:5" x14ac:dyDescent="0.25">
      <c r="A731" t="s">
        <v>162</v>
      </c>
      <c r="B731" t="s">
        <v>16</v>
      </c>
      <c r="C731" t="s">
        <v>19</v>
      </c>
      <c r="D731" t="s">
        <v>42</v>
      </c>
      <c r="E731">
        <v>318</v>
      </c>
    </row>
    <row r="732" spans="1:5" x14ac:dyDescent="0.25">
      <c r="A732" t="s">
        <v>162</v>
      </c>
      <c r="B732" t="s">
        <v>16</v>
      </c>
      <c r="C732" t="s">
        <v>4</v>
      </c>
      <c r="D732" t="s">
        <v>43</v>
      </c>
      <c r="E732">
        <v>2616</v>
      </c>
    </row>
    <row r="733" spans="1:5" x14ac:dyDescent="0.25">
      <c r="A733" t="s">
        <v>162</v>
      </c>
      <c r="B733" t="s">
        <v>16</v>
      </c>
      <c r="C733" t="s">
        <v>5</v>
      </c>
      <c r="D733" t="s">
        <v>43</v>
      </c>
      <c r="E733">
        <v>602</v>
      </c>
    </row>
    <row r="734" spans="1:5" x14ac:dyDescent="0.25">
      <c r="A734" t="s">
        <v>162</v>
      </c>
      <c r="B734" t="s">
        <v>16</v>
      </c>
      <c r="C734" t="s">
        <v>19</v>
      </c>
      <c r="D734" t="s">
        <v>43</v>
      </c>
      <c r="E734">
        <v>3218</v>
      </c>
    </row>
    <row r="735" spans="1:5" x14ac:dyDescent="0.25">
      <c r="A735" t="s">
        <v>162</v>
      </c>
      <c r="B735" t="s">
        <v>16</v>
      </c>
      <c r="C735" t="s">
        <v>4</v>
      </c>
      <c r="D735" t="s">
        <v>44</v>
      </c>
      <c r="E735">
        <v>4848</v>
      </c>
    </row>
    <row r="736" spans="1:5" x14ac:dyDescent="0.25">
      <c r="A736" t="s">
        <v>162</v>
      </c>
      <c r="B736" t="s">
        <v>16</v>
      </c>
      <c r="C736" t="s">
        <v>18</v>
      </c>
      <c r="D736" t="s">
        <v>44</v>
      </c>
      <c r="E736">
        <v>692</v>
      </c>
    </row>
    <row r="737" spans="1:5" x14ac:dyDescent="0.25">
      <c r="A737" t="s">
        <v>162</v>
      </c>
      <c r="B737" t="s">
        <v>16</v>
      </c>
      <c r="C737" t="s">
        <v>5</v>
      </c>
      <c r="D737" t="s">
        <v>44</v>
      </c>
      <c r="E737">
        <v>1749</v>
      </c>
    </row>
    <row r="738" spans="1:5" x14ac:dyDescent="0.25">
      <c r="A738" t="s">
        <v>162</v>
      </c>
      <c r="B738" t="s">
        <v>16</v>
      </c>
      <c r="C738" t="s">
        <v>19</v>
      </c>
      <c r="D738" t="s">
        <v>44</v>
      </c>
      <c r="E738">
        <v>7289</v>
      </c>
    </row>
    <row r="739" spans="1:5" x14ac:dyDescent="0.25">
      <c r="A739" t="s">
        <v>162</v>
      </c>
      <c r="B739" t="s">
        <v>16</v>
      </c>
      <c r="C739" t="s">
        <v>4</v>
      </c>
      <c r="D739" t="s">
        <v>21</v>
      </c>
      <c r="E739">
        <v>0.94736010116977554</v>
      </c>
    </row>
    <row r="740" spans="1:5" x14ac:dyDescent="0.25">
      <c r="A740" t="s">
        <v>162</v>
      </c>
      <c r="B740" t="s">
        <v>16</v>
      </c>
      <c r="C740" t="s">
        <v>18</v>
      </c>
      <c r="D740" t="s">
        <v>21</v>
      </c>
      <c r="E740">
        <v>0.41598119858989424</v>
      </c>
    </row>
    <row r="741" spans="1:5" x14ac:dyDescent="0.25">
      <c r="A741" t="s">
        <v>162</v>
      </c>
      <c r="B741" t="s">
        <v>16</v>
      </c>
      <c r="C741" t="s">
        <v>5</v>
      </c>
      <c r="D741" t="s">
        <v>21</v>
      </c>
      <c r="E741">
        <v>0.96314102564102555</v>
      </c>
    </row>
    <row r="742" spans="1:5" x14ac:dyDescent="0.25">
      <c r="A742" t="s">
        <v>162</v>
      </c>
      <c r="B742" t="s">
        <v>16</v>
      </c>
      <c r="C742" t="s">
        <v>19</v>
      </c>
      <c r="D742" t="s">
        <v>21</v>
      </c>
      <c r="E742">
        <v>2.3264823254006952</v>
      </c>
    </row>
    <row r="743" spans="1:5" x14ac:dyDescent="0.25">
      <c r="A743" t="s">
        <v>162</v>
      </c>
      <c r="B743" t="s">
        <v>16</v>
      </c>
      <c r="C743" t="s">
        <v>4</v>
      </c>
      <c r="D743" t="s">
        <v>22</v>
      </c>
      <c r="E743">
        <v>0.13752766361049637</v>
      </c>
    </row>
    <row r="744" spans="1:5" x14ac:dyDescent="0.25">
      <c r="A744" t="s">
        <v>162</v>
      </c>
      <c r="B744" t="s">
        <v>16</v>
      </c>
      <c r="C744" t="s">
        <v>18</v>
      </c>
      <c r="D744" t="s">
        <v>22</v>
      </c>
      <c r="E744">
        <v>0.2291421856639248</v>
      </c>
    </row>
    <row r="745" spans="1:5" x14ac:dyDescent="0.25">
      <c r="A745" t="s">
        <v>162</v>
      </c>
      <c r="B745" t="s">
        <v>16</v>
      </c>
      <c r="C745" t="s">
        <v>5</v>
      </c>
      <c r="D745" t="s">
        <v>22</v>
      </c>
      <c r="E745">
        <v>9.4230769230769229E-2</v>
      </c>
    </row>
    <row r="746" spans="1:5" x14ac:dyDescent="0.25">
      <c r="A746" t="s">
        <v>162</v>
      </c>
      <c r="B746" t="s">
        <v>16</v>
      </c>
      <c r="C746" t="s">
        <v>19</v>
      </c>
      <c r="D746" t="s">
        <v>22</v>
      </c>
      <c r="E746">
        <v>0.46090061850519037</v>
      </c>
    </row>
    <row r="747" spans="1:5" x14ac:dyDescent="0.25">
      <c r="A747" t="s">
        <v>162</v>
      </c>
      <c r="B747" t="s">
        <v>16</v>
      </c>
      <c r="C747" t="s">
        <v>4</v>
      </c>
      <c r="D747" t="s">
        <v>23</v>
      </c>
      <c r="E747">
        <v>0.14045210243439774</v>
      </c>
    </row>
    <row r="748" spans="1:5" x14ac:dyDescent="0.25">
      <c r="A748" t="s">
        <v>162</v>
      </c>
      <c r="B748" t="s">
        <v>16</v>
      </c>
      <c r="C748" t="s">
        <v>18</v>
      </c>
      <c r="D748" t="s">
        <v>23</v>
      </c>
      <c r="E748">
        <v>0.24206815511163335</v>
      </c>
    </row>
    <row r="749" spans="1:5" x14ac:dyDescent="0.25">
      <c r="A749" t="s">
        <v>162</v>
      </c>
      <c r="B749" t="s">
        <v>16</v>
      </c>
      <c r="C749" t="s">
        <v>5</v>
      </c>
      <c r="D749" t="s">
        <v>23</v>
      </c>
      <c r="E749">
        <v>0.15544871794871795</v>
      </c>
    </row>
    <row r="750" spans="1:5" x14ac:dyDescent="0.25">
      <c r="A750" t="s">
        <v>162</v>
      </c>
      <c r="B750" t="s">
        <v>16</v>
      </c>
      <c r="C750" t="s">
        <v>19</v>
      </c>
      <c r="D750" t="s">
        <v>23</v>
      </c>
      <c r="E750">
        <v>0.53796897549474909</v>
      </c>
    </row>
    <row r="751" spans="1:5" x14ac:dyDescent="0.25">
      <c r="A751" t="s">
        <v>162</v>
      </c>
      <c r="B751" t="s">
        <v>16</v>
      </c>
      <c r="C751" t="s">
        <v>4</v>
      </c>
      <c r="D751" t="s">
        <v>621</v>
      </c>
      <c r="E751">
        <v>0.72202023395510595</v>
      </c>
    </row>
    <row r="752" spans="1:5" x14ac:dyDescent="0.25">
      <c r="A752" t="s">
        <v>162</v>
      </c>
      <c r="B752" t="s">
        <v>16</v>
      </c>
      <c r="C752" t="s">
        <v>18</v>
      </c>
      <c r="D752" t="s">
        <v>621</v>
      </c>
      <c r="E752">
        <v>0.52878965922444188</v>
      </c>
    </row>
    <row r="753" spans="1:5" x14ac:dyDescent="0.25">
      <c r="A753" t="s">
        <v>162</v>
      </c>
      <c r="B753" t="s">
        <v>16</v>
      </c>
      <c r="C753" t="s">
        <v>5</v>
      </c>
      <c r="D753" t="s">
        <v>621</v>
      </c>
      <c r="E753">
        <v>0.75032051282051282</v>
      </c>
    </row>
    <row r="754" spans="1:5" x14ac:dyDescent="0.25">
      <c r="A754" t="s">
        <v>162</v>
      </c>
      <c r="B754" t="s">
        <v>16</v>
      </c>
      <c r="C754" t="s">
        <v>19</v>
      </c>
      <c r="D754" t="s">
        <v>621</v>
      </c>
      <c r="E754">
        <v>2.001130406000061</v>
      </c>
    </row>
    <row r="755" spans="1:5" x14ac:dyDescent="0.25">
      <c r="A755" t="s">
        <v>162</v>
      </c>
      <c r="B755" t="s">
        <v>16</v>
      </c>
      <c r="C755" t="s">
        <v>4</v>
      </c>
      <c r="D755" t="s">
        <v>24</v>
      </c>
      <c r="E755">
        <v>342.88999999999982</v>
      </c>
    </row>
    <row r="756" spans="1:5" x14ac:dyDescent="0.25">
      <c r="A756" t="s">
        <v>162</v>
      </c>
      <c r="B756" t="s">
        <v>16</v>
      </c>
      <c r="C756" t="s">
        <v>18</v>
      </c>
      <c r="D756" t="s">
        <v>24</v>
      </c>
      <c r="E756">
        <v>80.90000000000002</v>
      </c>
    </row>
    <row r="757" spans="1:5" x14ac:dyDescent="0.25">
      <c r="A757" t="s">
        <v>162</v>
      </c>
      <c r="B757" t="s">
        <v>16</v>
      </c>
      <c r="C757" t="s">
        <v>5</v>
      </c>
      <c r="D757" t="s">
        <v>24</v>
      </c>
      <c r="E757">
        <v>191.76</v>
      </c>
    </row>
    <row r="758" spans="1:5" x14ac:dyDescent="0.25">
      <c r="A758" t="s">
        <v>162</v>
      </c>
      <c r="B758" t="s">
        <v>16</v>
      </c>
      <c r="C758" t="s">
        <v>19</v>
      </c>
      <c r="D758" t="s">
        <v>24</v>
      </c>
      <c r="E758">
        <v>615.54999999999984</v>
      </c>
    </row>
    <row r="759" spans="1:5" x14ac:dyDescent="0.25">
      <c r="A759" t="s">
        <v>162</v>
      </c>
      <c r="B759" t="s">
        <v>16</v>
      </c>
      <c r="C759" t="s">
        <v>19</v>
      </c>
      <c r="D759" t="s">
        <v>45</v>
      </c>
      <c r="E759">
        <v>1949508</v>
      </c>
    </row>
    <row r="760" spans="1:5" x14ac:dyDescent="0.25">
      <c r="A760" t="s">
        <v>162</v>
      </c>
      <c r="B760" t="s">
        <v>16</v>
      </c>
      <c r="C760" t="s">
        <v>19</v>
      </c>
      <c r="D760" t="s">
        <v>46</v>
      </c>
      <c r="E760">
        <v>36536</v>
      </c>
    </row>
    <row r="761" spans="1:5" x14ac:dyDescent="0.25">
      <c r="A761" t="s">
        <v>179</v>
      </c>
      <c r="B761" t="s">
        <v>16</v>
      </c>
      <c r="C761" t="s">
        <v>4</v>
      </c>
      <c r="D761" t="s">
        <v>48</v>
      </c>
      <c r="E761">
        <v>113448</v>
      </c>
    </row>
    <row r="762" spans="1:5" x14ac:dyDescent="0.25">
      <c r="A762" t="s">
        <v>179</v>
      </c>
      <c r="B762" t="s">
        <v>16</v>
      </c>
      <c r="C762" t="s">
        <v>5</v>
      </c>
      <c r="D762" t="s">
        <v>48</v>
      </c>
      <c r="E762">
        <v>37978</v>
      </c>
    </row>
    <row r="763" spans="1:5" x14ac:dyDescent="0.25">
      <c r="A763" t="s">
        <v>179</v>
      </c>
      <c r="B763" t="s">
        <v>16</v>
      </c>
      <c r="C763" t="s">
        <v>19</v>
      </c>
      <c r="D763" t="s">
        <v>48</v>
      </c>
      <c r="E763">
        <v>151426</v>
      </c>
    </row>
    <row r="764" spans="1:5" x14ac:dyDescent="0.25">
      <c r="A764" t="s">
        <v>179</v>
      </c>
      <c r="B764" t="s">
        <v>16</v>
      </c>
      <c r="C764" t="s">
        <v>4</v>
      </c>
      <c r="D764" t="s">
        <v>49</v>
      </c>
      <c r="E764">
        <v>518090</v>
      </c>
    </row>
    <row r="765" spans="1:5" x14ac:dyDescent="0.25">
      <c r="A765" t="s">
        <v>179</v>
      </c>
      <c r="B765" t="s">
        <v>16</v>
      </c>
      <c r="C765" t="s">
        <v>18</v>
      </c>
      <c r="D765" t="s">
        <v>49</v>
      </c>
      <c r="E765">
        <v>48148</v>
      </c>
    </row>
    <row r="766" spans="1:5" x14ac:dyDescent="0.25">
      <c r="A766" t="s">
        <v>179</v>
      </c>
      <c r="B766" t="s">
        <v>16</v>
      </c>
      <c r="C766" t="s">
        <v>5</v>
      </c>
      <c r="D766" t="s">
        <v>49</v>
      </c>
      <c r="E766">
        <v>234267</v>
      </c>
    </row>
    <row r="767" spans="1:5" x14ac:dyDescent="0.25">
      <c r="A767" t="s">
        <v>179</v>
      </c>
      <c r="B767" t="s">
        <v>16</v>
      </c>
      <c r="C767" t="s">
        <v>19</v>
      </c>
      <c r="D767" t="s">
        <v>49</v>
      </c>
      <c r="E767">
        <v>800505</v>
      </c>
    </row>
    <row r="768" spans="1:5" x14ac:dyDescent="0.25">
      <c r="A768" t="s">
        <v>179</v>
      </c>
      <c r="B768" t="s">
        <v>16</v>
      </c>
      <c r="C768" t="s">
        <v>4</v>
      </c>
      <c r="D768" t="s">
        <v>50</v>
      </c>
      <c r="E768">
        <v>2303</v>
      </c>
    </row>
    <row r="769" spans="1:5" x14ac:dyDescent="0.25">
      <c r="A769" t="s">
        <v>179</v>
      </c>
      <c r="B769" t="s">
        <v>16</v>
      </c>
      <c r="C769" t="s">
        <v>18</v>
      </c>
      <c r="D769" t="s">
        <v>50</v>
      </c>
      <c r="E769">
        <v>16865</v>
      </c>
    </row>
    <row r="770" spans="1:5" x14ac:dyDescent="0.25">
      <c r="A770" t="s">
        <v>179</v>
      </c>
      <c r="B770" t="s">
        <v>16</v>
      </c>
      <c r="C770" t="s">
        <v>5</v>
      </c>
      <c r="D770" t="s">
        <v>50</v>
      </c>
      <c r="E770">
        <v>28619</v>
      </c>
    </row>
    <row r="771" spans="1:5" x14ac:dyDescent="0.25">
      <c r="A771" t="s">
        <v>179</v>
      </c>
      <c r="B771" t="s">
        <v>16</v>
      </c>
      <c r="C771" t="s">
        <v>19</v>
      </c>
      <c r="D771" t="s">
        <v>50</v>
      </c>
      <c r="E771">
        <v>47787</v>
      </c>
    </row>
    <row r="772" spans="1:5" x14ac:dyDescent="0.25">
      <c r="A772" t="s">
        <v>179</v>
      </c>
      <c r="B772" t="s">
        <v>16</v>
      </c>
      <c r="C772" t="s">
        <v>18</v>
      </c>
      <c r="D772" t="s">
        <v>59</v>
      </c>
      <c r="E772" t="s">
        <v>180</v>
      </c>
    </row>
    <row r="773" spans="1:5" x14ac:dyDescent="0.25">
      <c r="A773" t="s">
        <v>179</v>
      </c>
      <c r="B773" t="s">
        <v>16</v>
      </c>
      <c r="C773" t="s">
        <v>4</v>
      </c>
      <c r="D773" t="s">
        <v>59</v>
      </c>
      <c r="E773" t="s">
        <v>181</v>
      </c>
    </row>
    <row r="774" spans="1:5" x14ac:dyDescent="0.25">
      <c r="A774" t="s">
        <v>179</v>
      </c>
      <c r="B774" t="s">
        <v>16</v>
      </c>
      <c r="C774" t="s">
        <v>5</v>
      </c>
      <c r="D774" t="s">
        <v>59</v>
      </c>
      <c r="E774" t="s">
        <v>182</v>
      </c>
    </row>
    <row r="775" spans="1:5" x14ac:dyDescent="0.25">
      <c r="A775" t="s">
        <v>179</v>
      </c>
      <c r="B775" t="s">
        <v>16</v>
      </c>
      <c r="C775" t="s">
        <v>4</v>
      </c>
      <c r="D775" t="s">
        <v>63</v>
      </c>
      <c r="E775" t="s">
        <v>183</v>
      </c>
    </row>
    <row r="776" spans="1:5" x14ac:dyDescent="0.25">
      <c r="A776" t="s">
        <v>179</v>
      </c>
      <c r="B776" t="s">
        <v>16</v>
      </c>
      <c r="C776" t="s">
        <v>18</v>
      </c>
      <c r="D776" t="s">
        <v>63</v>
      </c>
      <c r="E776" t="s">
        <v>184</v>
      </c>
    </row>
    <row r="777" spans="1:5" x14ac:dyDescent="0.25">
      <c r="A777" t="s">
        <v>179</v>
      </c>
      <c r="B777" t="s">
        <v>16</v>
      </c>
      <c r="C777" t="s">
        <v>5</v>
      </c>
      <c r="D777" t="s">
        <v>63</v>
      </c>
      <c r="E777" t="s">
        <v>185</v>
      </c>
    </row>
    <row r="778" spans="1:5" x14ac:dyDescent="0.25">
      <c r="A778" t="s">
        <v>179</v>
      </c>
      <c r="B778" t="s">
        <v>16</v>
      </c>
      <c r="C778" t="s">
        <v>4</v>
      </c>
      <c r="D778" t="s">
        <v>67</v>
      </c>
      <c r="E778" t="s">
        <v>186</v>
      </c>
    </row>
    <row r="779" spans="1:5" x14ac:dyDescent="0.25">
      <c r="A779" t="s">
        <v>179</v>
      </c>
      <c r="B779" t="s">
        <v>16</v>
      </c>
      <c r="C779" t="s">
        <v>18</v>
      </c>
      <c r="D779" t="s">
        <v>67</v>
      </c>
      <c r="E779" t="s">
        <v>187</v>
      </c>
    </row>
    <row r="780" spans="1:5" x14ac:dyDescent="0.25">
      <c r="A780" t="s">
        <v>179</v>
      </c>
      <c r="B780" t="s">
        <v>16</v>
      </c>
      <c r="C780" t="s">
        <v>5</v>
      </c>
      <c r="D780" t="s">
        <v>67</v>
      </c>
      <c r="E780" t="s">
        <v>188</v>
      </c>
    </row>
    <row r="781" spans="1:5" x14ac:dyDescent="0.25">
      <c r="A781" t="s">
        <v>179</v>
      </c>
      <c r="B781" t="s">
        <v>16</v>
      </c>
      <c r="C781" t="s">
        <v>4</v>
      </c>
      <c r="D781" t="s">
        <v>6</v>
      </c>
      <c r="E781">
        <v>11961</v>
      </c>
    </row>
    <row r="782" spans="1:5" x14ac:dyDescent="0.25">
      <c r="A782" t="s">
        <v>179</v>
      </c>
      <c r="B782" t="s">
        <v>16</v>
      </c>
      <c r="C782" t="s">
        <v>18</v>
      </c>
      <c r="D782" t="s">
        <v>6</v>
      </c>
      <c r="E782">
        <v>356</v>
      </c>
    </row>
    <row r="783" spans="1:5" x14ac:dyDescent="0.25">
      <c r="A783" t="s">
        <v>179</v>
      </c>
      <c r="B783" t="s">
        <v>16</v>
      </c>
      <c r="C783" t="s">
        <v>5</v>
      </c>
      <c r="D783" t="s">
        <v>6</v>
      </c>
      <c r="E783">
        <v>2991</v>
      </c>
    </row>
    <row r="784" spans="1:5" x14ac:dyDescent="0.25">
      <c r="A784" t="s">
        <v>179</v>
      </c>
      <c r="B784" t="s">
        <v>16</v>
      </c>
      <c r="C784" t="s">
        <v>19</v>
      </c>
      <c r="D784" t="s">
        <v>6</v>
      </c>
      <c r="E784">
        <v>15308</v>
      </c>
    </row>
    <row r="785" spans="1:5" x14ac:dyDescent="0.25">
      <c r="A785" t="s">
        <v>179</v>
      </c>
      <c r="B785" t="s">
        <v>16</v>
      </c>
      <c r="C785" t="s">
        <v>4</v>
      </c>
      <c r="D785" t="s">
        <v>17</v>
      </c>
      <c r="E785">
        <v>562</v>
      </c>
    </row>
    <row r="786" spans="1:5" x14ac:dyDescent="0.25">
      <c r="A786" t="s">
        <v>179</v>
      </c>
      <c r="B786" t="s">
        <v>16</v>
      </c>
      <c r="C786" t="s">
        <v>18</v>
      </c>
      <c r="D786" t="s">
        <v>17</v>
      </c>
      <c r="E786">
        <v>17</v>
      </c>
    </row>
    <row r="787" spans="1:5" x14ac:dyDescent="0.25">
      <c r="A787" t="s">
        <v>179</v>
      </c>
      <c r="B787" t="s">
        <v>16</v>
      </c>
      <c r="C787" t="s">
        <v>5</v>
      </c>
      <c r="D787" t="s">
        <v>17</v>
      </c>
      <c r="E787">
        <v>59</v>
      </c>
    </row>
    <row r="788" spans="1:5" x14ac:dyDescent="0.25">
      <c r="A788" t="s">
        <v>179</v>
      </c>
      <c r="B788" t="s">
        <v>16</v>
      </c>
      <c r="C788" t="s">
        <v>19</v>
      </c>
      <c r="D788" t="s">
        <v>17</v>
      </c>
      <c r="E788">
        <v>638</v>
      </c>
    </row>
    <row r="789" spans="1:5" x14ac:dyDescent="0.25">
      <c r="A789" t="s">
        <v>179</v>
      </c>
      <c r="B789" t="s">
        <v>16</v>
      </c>
      <c r="C789" t="s">
        <v>4</v>
      </c>
      <c r="D789" t="s">
        <v>29</v>
      </c>
      <c r="E789" t="s">
        <v>122</v>
      </c>
    </row>
    <row r="790" spans="1:5" x14ac:dyDescent="0.25">
      <c r="A790" t="s">
        <v>179</v>
      </c>
      <c r="B790" t="s">
        <v>16</v>
      </c>
      <c r="C790" t="s">
        <v>4</v>
      </c>
      <c r="D790" t="s">
        <v>31</v>
      </c>
      <c r="E790" t="s">
        <v>172</v>
      </c>
    </row>
    <row r="791" spans="1:5" x14ac:dyDescent="0.25">
      <c r="A791" t="s">
        <v>179</v>
      </c>
      <c r="B791" t="s">
        <v>16</v>
      </c>
      <c r="C791" t="s">
        <v>5</v>
      </c>
      <c r="D791" t="s">
        <v>31</v>
      </c>
      <c r="E791" t="s">
        <v>189</v>
      </c>
    </row>
    <row r="792" spans="1:5" x14ac:dyDescent="0.25">
      <c r="A792" t="s">
        <v>179</v>
      </c>
      <c r="B792" t="s">
        <v>16</v>
      </c>
      <c r="C792" t="s">
        <v>4</v>
      </c>
      <c r="D792" t="s">
        <v>34</v>
      </c>
      <c r="E792" t="s">
        <v>173</v>
      </c>
    </row>
    <row r="793" spans="1:5" x14ac:dyDescent="0.25">
      <c r="A793" t="s">
        <v>179</v>
      </c>
      <c r="B793" t="s">
        <v>16</v>
      </c>
      <c r="C793" t="s">
        <v>18</v>
      </c>
      <c r="D793" t="s">
        <v>34</v>
      </c>
      <c r="E793" t="s">
        <v>174</v>
      </c>
    </row>
    <row r="794" spans="1:5" x14ac:dyDescent="0.25">
      <c r="A794" t="s">
        <v>179</v>
      </c>
      <c r="B794" t="s">
        <v>16</v>
      </c>
      <c r="C794" t="s">
        <v>5</v>
      </c>
      <c r="D794" t="s">
        <v>34</v>
      </c>
      <c r="E794" t="s">
        <v>175</v>
      </c>
    </row>
    <row r="795" spans="1:5" x14ac:dyDescent="0.25">
      <c r="A795" t="s">
        <v>179</v>
      </c>
      <c r="B795" t="s">
        <v>16</v>
      </c>
      <c r="C795" t="s">
        <v>4</v>
      </c>
      <c r="D795" t="s">
        <v>38</v>
      </c>
      <c r="E795" t="s">
        <v>190</v>
      </c>
    </row>
    <row r="796" spans="1:5" x14ac:dyDescent="0.25">
      <c r="A796" t="s">
        <v>179</v>
      </c>
      <c r="B796" t="s">
        <v>16</v>
      </c>
      <c r="C796" t="s">
        <v>18</v>
      </c>
      <c r="D796" t="s">
        <v>38</v>
      </c>
      <c r="E796" t="s">
        <v>191</v>
      </c>
    </row>
    <row r="797" spans="1:5" x14ac:dyDescent="0.25">
      <c r="A797" t="s">
        <v>179</v>
      </c>
      <c r="B797" t="s">
        <v>16</v>
      </c>
      <c r="C797" t="s">
        <v>5</v>
      </c>
      <c r="D797" t="s">
        <v>38</v>
      </c>
      <c r="E797" t="s">
        <v>192</v>
      </c>
    </row>
    <row r="798" spans="1:5" x14ac:dyDescent="0.25">
      <c r="A798" t="s">
        <v>179</v>
      </c>
      <c r="B798" t="s">
        <v>16</v>
      </c>
      <c r="C798" t="s">
        <v>4</v>
      </c>
      <c r="D798" t="s">
        <v>79</v>
      </c>
      <c r="E798">
        <v>629618</v>
      </c>
    </row>
    <row r="799" spans="1:5" x14ac:dyDescent="0.25">
      <c r="A799" t="s">
        <v>179</v>
      </c>
      <c r="B799" t="s">
        <v>16</v>
      </c>
      <c r="C799" t="s">
        <v>18</v>
      </c>
      <c r="D799" t="s">
        <v>79</v>
      </c>
      <c r="E799">
        <v>34791</v>
      </c>
    </row>
    <row r="800" spans="1:5" x14ac:dyDescent="0.25">
      <c r="A800" t="s">
        <v>179</v>
      </c>
      <c r="B800" t="s">
        <v>16</v>
      </c>
      <c r="C800" t="s">
        <v>5</v>
      </c>
      <c r="D800" t="s">
        <v>79</v>
      </c>
      <c r="E800">
        <v>428237</v>
      </c>
    </row>
    <row r="801" spans="1:5" x14ac:dyDescent="0.25">
      <c r="A801" t="s">
        <v>179</v>
      </c>
      <c r="B801" t="s">
        <v>16</v>
      </c>
      <c r="C801" t="s">
        <v>19</v>
      </c>
      <c r="D801" t="s">
        <v>79</v>
      </c>
      <c r="E801">
        <v>1092646</v>
      </c>
    </row>
    <row r="802" spans="1:5" x14ac:dyDescent="0.25">
      <c r="A802" t="s">
        <v>179</v>
      </c>
      <c r="B802" t="s">
        <v>16</v>
      </c>
      <c r="C802" t="s">
        <v>4</v>
      </c>
      <c r="D802" t="s">
        <v>20</v>
      </c>
      <c r="E802">
        <v>9238</v>
      </c>
    </row>
    <row r="803" spans="1:5" x14ac:dyDescent="0.25">
      <c r="A803" t="s">
        <v>179</v>
      </c>
      <c r="B803" t="s">
        <v>16</v>
      </c>
      <c r="C803" t="s">
        <v>18</v>
      </c>
      <c r="D803" t="s">
        <v>20</v>
      </c>
      <c r="E803">
        <v>847</v>
      </c>
    </row>
    <row r="804" spans="1:5" x14ac:dyDescent="0.25">
      <c r="A804" t="s">
        <v>179</v>
      </c>
      <c r="B804" t="s">
        <v>16</v>
      </c>
      <c r="C804" t="s">
        <v>5</v>
      </c>
      <c r="D804" t="s">
        <v>20</v>
      </c>
      <c r="E804">
        <v>2838</v>
      </c>
    </row>
    <row r="805" spans="1:5" x14ac:dyDescent="0.25">
      <c r="A805" t="s">
        <v>179</v>
      </c>
      <c r="B805" t="s">
        <v>16</v>
      </c>
      <c r="C805" t="s">
        <v>19</v>
      </c>
      <c r="D805" t="s">
        <v>20</v>
      </c>
      <c r="E805">
        <v>12923</v>
      </c>
    </row>
    <row r="806" spans="1:5" x14ac:dyDescent="0.25">
      <c r="A806" t="s">
        <v>179</v>
      </c>
      <c r="B806" t="s">
        <v>16</v>
      </c>
      <c r="C806" t="s">
        <v>4</v>
      </c>
      <c r="D806" t="s">
        <v>42</v>
      </c>
      <c r="E806">
        <v>402</v>
      </c>
    </row>
    <row r="807" spans="1:5" x14ac:dyDescent="0.25">
      <c r="A807" t="s">
        <v>179</v>
      </c>
      <c r="B807" t="s">
        <v>16</v>
      </c>
      <c r="C807" t="s">
        <v>19</v>
      </c>
      <c r="D807" t="s">
        <v>42</v>
      </c>
      <c r="E807">
        <v>402</v>
      </c>
    </row>
    <row r="808" spans="1:5" x14ac:dyDescent="0.25">
      <c r="A808" t="s">
        <v>179</v>
      </c>
      <c r="B808" t="s">
        <v>16</v>
      </c>
      <c r="C808" t="s">
        <v>4</v>
      </c>
      <c r="D808" t="s">
        <v>43</v>
      </c>
      <c r="E808">
        <v>3222</v>
      </c>
    </row>
    <row r="809" spans="1:5" x14ac:dyDescent="0.25">
      <c r="A809" t="s">
        <v>179</v>
      </c>
      <c r="B809" t="s">
        <v>16</v>
      </c>
      <c r="C809" t="s">
        <v>5</v>
      </c>
      <c r="D809" t="s">
        <v>43</v>
      </c>
      <c r="E809">
        <v>802</v>
      </c>
    </row>
    <row r="810" spans="1:5" x14ac:dyDescent="0.25">
      <c r="A810" t="s">
        <v>179</v>
      </c>
      <c r="B810" t="s">
        <v>16</v>
      </c>
      <c r="C810" t="s">
        <v>19</v>
      </c>
      <c r="D810" t="s">
        <v>43</v>
      </c>
      <c r="E810">
        <v>4024</v>
      </c>
    </row>
    <row r="811" spans="1:5" x14ac:dyDescent="0.25">
      <c r="A811" t="s">
        <v>179</v>
      </c>
      <c r="B811" t="s">
        <v>16</v>
      </c>
      <c r="C811" t="s">
        <v>4</v>
      </c>
      <c r="D811" t="s">
        <v>44</v>
      </c>
      <c r="E811">
        <v>5614</v>
      </c>
    </row>
    <row r="812" spans="1:5" x14ac:dyDescent="0.25">
      <c r="A812" t="s">
        <v>179</v>
      </c>
      <c r="B812" t="s">
        <v>16</v>
      </c>
      <c r="C812" t="s">
        <v>18</v>
      </c>
      <c r="D812" t="s">
        <v>44</v>
      </c>
      <c r="E812">
        <v>847</v>
      </c>
    </row>
    <row r="813" spans="1:5" x14ac:dyDescent="0.25">
      <c r="A813" t="s">
        <v>179</v>
      </c>
      <c r="B813" t="s">
        <v>16</v>
      </c>
      <c r="C813" t="s">
        <v>5</v>
      </c>
      <c r="D813" t="s">
        <v>44</v>
      </c>
      <c r="E813">
        <v>2036</v>
      </c>
    </row>
    <row r="814" spans="1:5" x14ac:dyDescent="0.25">
      <c r="A814" t="s">
        <v>179</v>
      </c>
      <c r="B814" t="s">
        <v>16</v>
      </c>
      <c r="C814" t="s">
        <v>19</v>
      </c>
      <c r="D814" t="s">
        <v>44</v>
      </c>
      <c r="E814">
        <v>8497</v>
      </c>
    </row>
    <row r="815" spans="1:5" x14ac:dyDescent="0.25">
      <c r="A815" t="s">
        <v>179</v>
      </c>
      <c r="B815" t="s">
        <v>16</v>
      </c>
      <c r="C815" t="s">
        <v>4</v>
      </c>
      <c r="D815" t="s">
        <v>21</v>
      </c>
      <c r="E815">
        <v>0.94943641847912363</v>
      </c>
    </row>
    <row r="816" spans="1:5" x14ac:dyDescent="0.25">
      <c r="A816" t="s">
        <v>179</v>
      </c>
      <c r="B816" t="s">
        <v>16</v>
      </c>
      <c r="C816" t="s">
        <v>18</v>
      </c>
      <c r="D816" t="s">
        <v>21</v>
      </c>
      <c r="E816">
        <v>0.42030696576151122</v>
      </c>
    </row>
    <row r="817" spans="1:5" x14ac:dyDescent="0.25">
      <c r="A817" t="s">
        <v>179</v>
      </c>
      <c r="B817" t="s">
        <v>16</v>
      </c>
      <c r="C817" t="s">
        <v>5</v>
      </c>
      <c r="D817" t="s">
        <v>21</v>
      </c>
      <c r="E817">
        <v>0.96111825192802069</v>
      </c>
    </row>
    <row r="818" spans="1:5" x14ac:dyDescent="0.25">
      <c r="A818" t="s">
        <v>179</v>
      </c>
      <c r="B818" t="s">
        <v>16</v>
      </c>
      <c r="C818" t="s">
        <v>19</v>
      </c>
      <c r="D818" t="s">
        <v>21</v>
      </c>
      <c r="E818">
        <v>2.3308616361686552</v>
      </c>
    </row>
    <row r="819" spans="1:5" x14ac:dyDescent="0.25">
      <c r="A819" t="s">
        <v>179</v>
      </c>
      <c r="B819" t="s">
        <v>16</v>
      </c>
      <c r="C819" t="s">
        <v>4</v>
      </c>
      <c r="D819" t="s">
        <v>22</v>
      </c>
      <c r="E819">
        <v>0.13954595967613906</v>
      </c>
    </row>
    <row r="820" spans="1:5" x14ac:dyDescent="0.25">
      <c r="A820" t="s">
        <v>179</v>
      </c>
      <c r="B820" t="s">
        <v>16</v>
      </c>
      <c r="C820" t="s">
        <v>18</v>
      </c>
      <c r="D820" t="s">
        <v>22</v>
      </c>
      <c r="E820">
        <v>0.20543093270365995</v>
      </c>
    </row>
    <row r="821" spans="1:5" x14ac:dyDescent="0.25">
      <c r="A821" t="s">
        <v>179</v>
      </c>
      <c r="B821" t="s">
        <v>16</v>
      </c>
      <c r="C821" t="s">
        <v>5</v>
      </c>
      <c r="D821" t="s">
        <v>22</v>
      </c>
      <c r="E821">
        <v>9.0295629820051418E-2</v>
      </c>
    </row>
    <row r="822" spans="1:5" x14ac:dyDescent="0.25">
      <c r="A822" t="s">
        <v>179</v>
      </c>
      <c r="B822" t="s">
        <v>16</v>
      </c>
      <c r="C822" t="s">
        <v>19</v>
      </c>
      <c r="D822" t="s">
        <v>22</v>
      </c>
      <c r="E822">
        <v>0.43527252219985041</v>
      </c>
    </row>
    <row r="823" spans="1:5" x14ac:dyDescent="0.25">
      <c r="A823" t="s">
        <v>179</v>
      </c>
      <c r="B823" t="s">
        <v>16</v>
      </c>
      <c r="C823" t="s">
        <v>4</v>
      </c>
      <c r="D823" t="s">
        <v>23</v>
      </c>
      <c r="E823">
        <v>0.13613271947928243</v>
      </c>
    </row>
    <row r="824" spans="1:5" x14ac:dyDescent="0.25">
      <c r="A824" t="s">
        <v>179</v>
      </c>
      <c r="B824" t="s">
        <v>16</v>
      </c>
      <c r="C824" t="s">
        <v>18</v>
      </c>
      <c r="D824" t="s">
        <v>23</v>
      </c>
      <c r="E824">
        <v>0.26918536009445099</v>
      </c>
    </row>
    <row r="825" spans="1:5" x14ac:dyDescent="0.25">
      <c r="A825" t="s">
        <v>179</v>
      </c>
      <c r="B825" t="s">
        <v>16</v>
      </c>
      <c r="C825" t="s">
        <v>5</v>
      </c>
      <c r="D825" t="s">
        <v>23</v>
      </c>
      <c r="E825">
        <v>0.16741645244215941</v>
      </c>
    </row>
    <row r="826" spans="1:5" x14ac:dyDescent="0.25">
      <c r="A826" t="s">
        <v>179</v>
      </c>
      <c r="B826" t="s">
        <v>16</v>
      </c>
      <c r="C826" t="s">
        <v>19</v>
      </c>
      <c r="D826" t="s">
        <v>23</v>
      </c>
      <c r="E826">
        <v>0.57273453201589286</v>
      </c>
    </row>
    <row r="827" spans="1:5" x14ac:dyDescent="0.25">
      <c r="A827" t="s">
        <v>179</v>
      </c>
      <c r="B827" t="s">
        <v>16</v>
      </c>
      <c r="C827" t="s">
        <v>4</v>
      </c>
      <c r="D827" t="s">
        <v>621</v>
      </c>
      <c r="E827">
        <v>0.72432132084457845</v>
      </c>
    </row>
    <row r="828" spans="1:5" x14ac:dyDescent="0.25">
      <c r="A828" t="s">
        <v>179</v>
      </c>
      <c r="B828" t="s">
        <v>16</v>
      </c>
      <c r="C828" t="s">
        <v>18</v>
      </c>
      <c r="D828" t="s">
        <v>621</v>
      </c>
      <c r="E828">
        <v>0.52538370720188898</v>
      </c>
    </row>
    <row r="829" spans="1:5" x14ac:dyDescent="0.25">
      <c r="A829" t="s">
        <v>179</v>
      </c>
      <c r="B829" t="s">
        <v>16</v>
      </c>
      <c r="C829" t="s">
        <v>5</v>
      </c>
      <c r="D829" t="s">
        <v>621</v>
      </c>
      <c r="E829">
        <v>0.74228791773778924</v>
      </c>
    </row>
    <row r="830" spans="1:5" x14ac:dyDescent="0.25">
      <c r="A830" t="s">
        <v>179</v>
      </c>
      <c r="B830" t="s">
        <v>16</v>
      </c>
      <c r="C830" t="s">
        <v>19</v>
      </c>
      <c r="D830" t="s">
        <v>621</v>
      </c>
      <c r="E830">
        <v>1.9919929457842569</v>
      </c>
    </row>
    <row r="831" spans="1:5" x14ac:dyDescent="0.25">
      <c r="A831" t="s">
        <v>179</v>
      </c>
      <c r="B831" t="s">
        <v>16</v>
      </c>
      <c r="C831" t="s">
        <v>4</v>
      </c>
      <c r="D831" t="s">
        <v>24</v>
      </c>
      <c r="E831">
        <v>310.20000000000016</v>
      </c>
    </row>
    <row r="832" spans="1:5" x14ac:dyDescent="0.25">
      <c r="A832" t="s">
        <v>179</v>
      </c>
      <c r="B832" t="s">
        <v>16</v>
      </c>
      <c r="C832" t="s">
        <v>18</v>
      </c>
      <c r="D832" t="s">
        <v>24</v>
      </c>
      <c r="E832">
        <v>112.57000000000002</v>
      </c>
    </row>
    <row r="833" spans="1:5" x14ac:dyDescent="0.25">
      <c r="A833" t="s">
        <v>179</v>
      </c>
      <c r="B833" t="s">
        <v>16</v>
      </c>
      <c r="C833" t="s">
        <v>5</v>
      </c>
      <c r="D833" t="s">
        <v>24</v>
      </c>
      <c r="E833">
        <v>214.33999999999995</v>
      </c>
    </row>
    <row r="834" spans="1:5" x14ac:dyDescent="0.25">
      <c r="A834" t="s">
        <v>179</v>
      </c>
      <c r="B834" t="s">
        <v>16</v>
      </c>
      <c r="C834" t="s">
        <v>19</v>
      </c>
      <c r="D834" t="s">
        <v>24</v>
      </c>
      <c r="E834">
        <v>637.11000000000013</v>
      </c>
    </row>
    <row r="835" spans="1:5" x14ac:dyDescent="0.25">
      <c r="A835" t="s">
        <v>179</v>
      </c>
      <c r="B835" t="s">
        <v>16</v>
      </c>
      <c r="C835" t="s">
        <v>19</v>
      </c>
      <c r="D835" t="s">
        <v>45</v>
      </c>
      <c r="E835">
        <v>2236673</v>
      </c>
    </row>
    <row r="836" spans="1:5" x14ac:dyDescent="0.25">
      <c r="A836" t="s">
        <v>179</v>
      </c>
      <c r="B836" t="s">
        <v>16</v>
      </c>
      <c r="C836" t="s">
        <v>19</v>
      </c>
      <c r="D836" t="s">
        <v>46</v>
      </c>
      <c r="E836">
        <v>39525</v>
      </c>
    </row>
    <row r="837" spans="1:5" x14ac:dyDescent="0.25">
      <c r="A837" t="s">
        <v>193</v>
      </c>
      <c r="B837" t="s">
        <v>16</v>
      </c>
      <c r="C837" t="s">
        <v>4</v>
      </c>
      <c r="D837" t="s">
        <v>48</v>
      </c>
      <c r="E837">
        <v>106755</v>
      </c>
    </row>
    <row r="838" spans="1:5" x14ac:dyDescent="0.25">
      <c r="A838" t="s">
        <v>193</v>
      </c>
      <c r="B838" t="s">
        <v>16</v>
      </c>
      <c r="C838" t="s">
        <v>5</v>
      </c>
      <c r="D838" t="s">
        <v>48</v>
      </c>
      <c r="E838">
        <v>39091</v>
      </c>
    </row>
    <row r="839" spans="1:5" x14ac:dyDescent="0.25">
      <c r="A839" t="s">
        <v>193</v>
      </c>
      <c r="B839" t="s">
        <v>16</v>
      </c>
      <c r="C839" t="s">
        <v>19</v>
      </c>
      <c r="D839" t="s">
        <v>48</v>
      </c>
      <c r="E839">
        <v>145846</v>
      </c>
    </row>
    <row r="840" spans="1:5" x14ac:dyDescent="0.25">
      <c r="A840" t="s">
        <v>193</v>
      </c>
      <c r="B840" t="s">
        <v>16</v>
      </c>
      <c r="C840" t="s">
        <v>4</v>
      </c>
      <c r="D840" t="s">
        <v>49</v>
      </c>
      <c r="E840">
        <v>511788</v>
      </c>
    </row>
    <row r="841" spans="1:5" x14ac:dyDescent="0.25">
      <c r="A841" t="s">
        <v>193</v>
      </c>
      <c r="B841" t="s">
        <v>16</v>
      </c>
      <c r="C841" t="s">
        <v>18</v>
      </c>
      <c r="D841" t="s">
        <v>49</v>
      </c>
      <c r="E841">
        <v>48014</v>
      </c>
    </row>
    <row r="842" spans="1:5" x14ac:dyDescent="0.25">
      <c r="A842" t="s">
        <v>193</v>
      </c>
      <c r="B842" t="s">
        <v>16</v>
      </c>
      <c r="C842" t="s">
        <v>5</v>
      </c>
      <c r="D842" t="s">
        <v>49</v>
      </c>
      <c r="E842">
        <v>235916</v>
      </c>
    </row>
    <row r="843" spans="1:5" x14ac:dyDescent="0.25">
      <c r="A843" t="s">
        <v>193</v>
      </c>
      <c r="B843" t="s">
        <v>16</v>
      </c>
      <c r="C843" t="s">
        <v>19</v>
      </c>
      <c r="D843" t="s">
        <v>49</v>
      </c>
      <c r="E843">
        <v>795718</v>
      </c>
    </row>
    <row r="844" spans="1:5" x14ac:dyDescent="0.25">
      <c r="A844" t="s">
        <v>193</v>
      </c>
      <c r="B844" t="s">
        <v>16</v>
      </c>
      <c r="C844" t="s">
        <v>4</v>
      </c>
      <c r="D844" t="s">
        <v>50</v>
      </c>
      <c r="E844">
        <v>2667</v>
      </c>
    </row>
    <row r="845" spans="1:5" x14ac:dyDescent="0.25">
      <c r="A845" t="s">
        <v>193</v>
      </c>
      <c r="B845" t="s">
        <v>16</v>
      </c>
      <c r="C845" t="s">
        <v>18</v>
      </c>
      <c r="D845" t="s">
        <v>50</v>
      </c>
      <c r="E845">
        <v>14321</v>
      </c>
    </row>
    <row r="846" spans="1:5" x14ac:dyDescent="0.25">
      <c r="A846" t="s">
        <v>193</v>
      </c>
      <c r="B846" t="s">
        <v>16</v>
      </c>
      <c r="C846" t="s">
        <v>5</v>
      </c>
      <c r="D846" t="s">
        <v>50</v>
      </c>
      <c r="E846">
        <v>33634</v>
      </c>
    </row>
    <row r="847" spans="1:5" x14ac:dyDescent="0.25">
      <c r="A847" t="s">
        <v>193</v>
      </c>
      <c r="B847" t="s">
        <v>16</v>
      </c>
      <c r="C847" t="s">
        <v>19</v>
      </c>
      <c r="D847" t="s">
        <v>50</v>
      </c>
      <c r="E847">
        <v>50622</v>
      </c>
    </row>
    <row r="848" spans="1:5" x14ac:dyDescent="0.25">
      <c r="A848" t="s">
        <v>193</v>
      </c>
      <c r="B848" t="s">
        <v>16</v>
      </c>
      <c r="C848" t="s">
        <v>18</v>
      </c>
      <c r="D848" t="s">
        <v>59</v>
      </c>
      <c r="E848" t="s">
        <v>194</v>
      </c>
    </row>
    <row r="849" spans="1:5" x14ac:dyDescent="0.25">
      <c r="A849" t="s">
        <v>193</v>
      </c>
      <c r="B849" t="s">
        <v>16</v>
      </c>
      <c r="C849" t="s">
        <v>4</v>
      </c>
      <c r="D849" t="s">
        <v>59</v>
      </c>
      <c r="E849" t="s">
        <v>195</v>
      </c>
    </row>
    <row r="850" spans="1:5" x14ac:dyDescent="0.25">
      <c r="A850" t="s">
        <v>193</v>
      </c>
      <c r="B850" t="s">
        <v>16</v>
      </c>
      <c r="C850" t="s">
        <v>5</v>
      </c>
      <c r="D850" t="s">
        <v>59</v>
      </c>
      <c r="E850" t="s">
        <v>196</v>
      </c>
    </row>
    <row r="851" spans="1:5" x14ac:dyDescent="0.25">
      <c r="A851" t="s">
        <v>193</v>
      </c>
      <c r="B851" t="s">
        <v>16</v>
      </c>
      <c r="C851" t="s">
        <v>4</v>
      </c>
      <c r="D851" t="s">
        <v>63</v>
      </c>
      <c r="E851" t="s">
        <v>197</v>
      </c>
    </row>
    <row r="852" spans="1:5" x14ac:dyDescent="0.25">
      <c r="A852" t="s">
        <v>193</v>
      </c>
      <c r="B852" t="s">
        <v>16</v>
      </c>
      <c r="C852" t="s">
        <v>18</v>
      </c>
      <c r="D852" t="s">
        <v>63</v>
      </c>
      <c r="E852" t="s">
        <v>198</v>
      </c>
    </row>
    <row r="853" spans="1:5" x14ac:dyDescent="0.25">
      <c r="A853" t="s">
        <v>193</v>
      </c>
      <c r="B853" t="s">
        <v>16</v>
      </c>
      <c r="C853" t="s">
        <v>5</v>
      </c>
      <c r="D853" t="s">
        <v>63</v>
      </c>
      <c r="E853" t="s">
        <v>199</v>
      </c>
    </row>
    <row r="854" spans="1:5" x14ac:dyDescent="0.25">
      <c r="A854" t="s">
        <v>193</v>
      </c>
      <c r="B854" t="s">
        <v>16</v>
      </c>
      <c r="C854" t="s">
        <v>4</v>
      </c>
      <c r="D854" t="s">
        <v>67</v>
      </c>
      <c r="E854" t="s">
        <v>200</v>
      </c>
    </row>
    <row r="855" spans="1:5" x14ac:dyDescent="0.25">
      <c r="A855" t="s">
        <v>193</v>
      </c>
      <c r="B855" t="s">
        <v>16</v>
      </c>
      <c r="C855" t="s">
        <v>18</v>
      </c>
      <c r="D855" t="s">
        <v>67</v>
      </c>
      <c r="E855" t="s">
        <v>201</v>
      </c>
    </row>
    <row r="856" spans="1:5" x14ac:dyDescent="0.25">
      <c r="A856" t="s">
        <v>193</v>
      </c>
      <c r="B856" t="s">
        <v>16</v>
      </c>
      <c r="C856" t="s">
        <v>5</v>
      </c>
      <c r="D856" t="s">
        <v>67</v>
      </c>
      <c r="E856" t="s">
        <v>202</v>
      </c>
    </row>
    <row r="857" spans="1:5" x14ac:dyDescent="0.25">
      <c r="A857" t="s">
        <v>193</v>
      </c>
      <c r="B857" t="s">
        <v>16</v>
      </c>
      <c r="C857" t="s">
        <v>4</v>
      </c>
      <c r="D857" t="s">
        <v>6</v>
      </c>
      <c r="E857">
        <v>11910</v>
      </c>
    </row>
    <row r="858" spans="1:5" x14ac:dyDescent="0.25">
      <c r="A858" t="s">
        <v>193</v>
      </c>
      <c r="B858" t="s">
        <v>16</v>
      </c>
      <c r="C858" t="s">
        <v>18</v>
      </c>
      <c r="D858" t="s">
        <v>6</v>
      </c>
      <c r="E858">
        <v>360</v>
      </c>
    </row>
    <row r="859" spans="1:5" x14ac:dyDescent="0.25">
      <c r="A859" t="s">
        <v>193</v>
      </c>
      <c r="B859" t="s">
        <v>16</v>
      </c>
      <c r="C859" t="s">
        <v>5</v>
      </c>
      <c r="D859" t="s">
        <v>6</v>
      </c>
      <c r="E859">
        <v>3005</v>
      </c>
    </row>
    <row r="860" spans="1:5" x14ac:dyDescent="0.25">
      <c r="A860" t="s">
        <v>193</v>
      </c>
      <c r="B860" t="s">
        <v>16</v>
      </c>
      <c r="C860" t="s">
        <v>19</v>
      </c>
      <c r="D860" t="s">
        <v>6</v>
      </c>
      <c r="E860">
        <v>15275</v>
      </c>
    </row>
    <row r="861" spans="1:5" x14ac:dyDescent="0.25">
      <c r="A861" t="s">
        <v>193</v>
      </c>
      <c r="B861" t="s">
        <v>16</v>
      </c>
      <c r="C861" t="s">
        <v>4</v>
      </c>
      <c r="D861" t="s">
        <v>17</v>
      </c>
      <c r="E861">
        <v>484</v>
      </c>
    </row>
    <row r="862" spans="1:5" x14ac:dyDescent="0.25">
      <c r="A862" t="s">
        <v>193</v>
      </c>
      <c r="B862" t="s">
        <v>16</v>
      </c>
      <c r="C862" t="s">
        <v>18</v>
      </c>
      <c r="D862" t="s">
        <v>17</v>
      </c>
      <c r="E862">
        <v>13</v>
      </c>
    </row>
    <row r="863" spans="1:5" x14ac:dyDescent="0.25">
      <c r="A863" t="s">
        <v>193</v>
      </c>
      <c r="B863" t="s">
        <v>16</v>
      </c>
      <c r="C863" t="s">
        <v>5</v>
      </c>
      <c r="D863" t="s">
        <v>17</v>
      </c>
      <c r="E863">
        <v>78</v>
      </c>
    </row>
    <row r="864" spans="1:5" x14ac:dyDescent="0.25">
      <c r="A864" t="s">
        <v>193</v>
      </c>
      <c r="B864" t="s">
        <v>16</v>
      </c>
      <c r="C864" t="s">
        <v>19</v>
      </c>
      <c r="D864" t="s">
        <v>17</v>
      </c>
      <c r="E864">
        <v>575</v>
      </c>
    </row>
    <row r="865" spans="1:5" x14ac:dyDescent="0.25">
      <c r="A865" t="s">
        <v>193</v>
      </c>
      <c r="B865" t="s">
        <v>16</v>
      </c>
      <c r="C865" t="s">
        <v>4</v>
      </c>
      <c r="D865" t="s">
        <v>29</v>
      </c>
      <c r="E865" t="s">
        <v>122</v>
      </c>
    </row>
    <row r="866" spans="1:5" x14ac:dyDescent="0.25">
      <c r="A866" t="s">
        <v>193</v>
      </c>
      <c r="B866" t="s">
        <v>16</v>
      </c>
      <c r="C866" t="s">
        <v>4</v>
      </c>
      <c r="D866" t="s">
        <v>31</v>
      </c>
      <c r="E866" t="s">
        <v>156</v>
      </c>
    </row>
    <row r="867" spans="1:5" x14ac:dyDescent="0.25">
      <c r="A867" t="s">
        <v>193</v>
      </c>
      <c r="B867" t="s">
        <v>16</v>
      </c>
      <c r="C867" t="s">
        <v>5</v>
      </c>
      <c r="D867" t="s">
        <v>31</v>
      </c>
      <c r="E867" t="s">
        <v>203</v>
      </c>
    </row>
    <row r="868" spans="1:5" x14ac:dyDescent="0.25">
      <c r="A868" t="s">
        <v>193</v>
      </c>
      <c r="B868" t="s">
        <v>16</v>
      </c>
      <c r="C868" t="s">
        <v>4</v>
      </c>
      <c r="D868" t="s">
        <v>34</v>
      </c>
      <c r="E868" t="s">
        <v>173</v>
      </c>
    </row>
    <row r="869" spans="1:5" x14ac:dyDescent="0.25">
      <c r="A869" t="s">
        <v>193</v>
      </c>
      <c r="B869" t="s">
        <v>16</v>
      </c>
      <c r="C869" t="s">
        <v>18</v>
      </c>
      <c r="D869" t="s">
        <v>34</v>
      </c>
      <c r="E869" t="s">
        <v>204</v>
      </c>
    </row>
    <row r="870" spans="1:5" x14ac:dyDescent="0.25">
      <c r="A870" t="s">
        <v>193</v>
      </c>
      <c r="B870" t="s">
        <v>16</v>
      </c>
      <c r="C870" t="s">
        <v>5</v>
      </c>
      <c r="D870" t="s">
        <v>34</v>
      </c>
      <c r="E870" t="s">
        <v>205</v>
      </c>
    </row>
    <row r="871" spans="1:5" x14ac:dyDescent="0.25">
      <c r="A871" t="s">
        <v>193</v>
      </c>
      <c r="B871" t="s">
        <v>16</v>
      </c>
      <c r="C871" t="s">
        <v>4</v>
      </c>
      <c r="D871" t="s">
        <v>38</v>
      </c>
      <c r="E871" t="s">
        <v>206</v>
      </c>
    </row>
    <row r="872" spans="1:5" x14ac:dyDescent="0.25">
      <c r="A872" t="s">
        <v>193</v>
      </c>
      <c r="B872" t="s">
        <v>16</v>
      </c>
      <c r="C872" t="s">
        <v>18</v>
      </c>
      <c r="D872" t="s">
        <v>38</v>
      </c>
      <c r="E872" t="s">
        <v>207</v>
      </c>
    </row>
    <row r="873" spans="1:5" x14ac:dyDescent="0.25">
      <c r="A873" t="s">
        <v>193</v>
      </c>
      <c r="B873" t="s">
        <v>16</v>
      </c>
      <c r="C873" t="s">
        <v>5</v>
      </c>
      <c r="D873" t="s">
        <v>38</v>
      </c>
      <c r="E873" t="s">
        <v>208</v>
      </c>
    </row>
    <row r="874" spans="1:5" x14ac:dyDescent="0.25">
      <c r="A874" t="s">
        <v>193</v>
      </c>
      <c r="B874" t="s">
        <v>16</v>
      </c>
      <c r="C874" t="s">
        <v>4</v>
      </c>
      <c r="D874" t="s">
        <v>79</v>
      </c>
      <c r="E874">
        <v>614312</v>
      </c>
    </row>
    <row r="875" spans="1:5" x14ac:dyDescent="0.25">
      <c r="A875" t="s">
        <v>193</v>
      </c>
      <c r="B875" t="s">
        <v>16</v>
      </c>
      <c r="C875" t="s">
        <v>18</v>
      </c>
      <c r="D875" t="s">
        <v>79</v>
      </c>
      <c r="E875">
        <v>36848</v>
      </c>
    </row>
    <row r="876" spans="1:5" x14ac:dyDescent="0.25">
      <c r="A876" t="s">
        <v>193</v>
      </c>
      <c r="B876" t="s">
        <v>16</v>
      </c>
      <c r="C876" t="s">
        <v>5</v>
      </c>
      <c r="D876" t="s">
        <v>79</v>
      </c>
      <c r="E876">
        <v>417771</v>
      </c>
    </row>
    <row r="877" spans="1:5" x14ac:dyDescent="0.25">
      <c r="A877" t="s">
        <v>193</v>
      </c>
      <c r="B877" t="s">
        <v>16</v>
      </c>
      <c r="C877" t="s">
        <v>19</v>
      </c>
      <c r="D877" t="s">
        <v>79</v>
      </c>
      <c r="E877">
        <v>1068931</v>
      </c>
    </row>
    <row r="878" spans="1:5" x14ac:dyDescent="0.25">
      <c r="A878" t="s">
        <v>193</v>
      </c>
      <c r="B878" t="s">
        <v>16</v>
      </c>
      <c r="C878" t="s">
        <v>4</v>
      </c>
      <c r="D878" t="s">
        <v>20</v>
      </c>
      <c r="E878">
        <v>8118</v>
      </c>
    </row>
    <row r="879" spans="1:5" x14ac:dyDescent="0.25">
      <c r="A879" t="s">
        <v>193</v>
      </c>
      <c r="B879" t="s">
        <v>16</v>
      </c>
      <c r="C879" t="s">
        <v>18</v>
      </c>
      <c r="D879" t="s">
        <v>20</v>
      </c>
      <c r="E879">
        <v>567</v>
      </c>
    </row>
    <row r="880" spans="1:5" x14ac:dyDescent="0.25">
      <c r="A880" t="s">
        <v>193</v>
      </c>
      <c r="B880" t="s">
        <v>16</v>
      </c>
      <c r="C880" t="s">
        <v>5</v>
      </c>
      <c r="D880" t="s">
        <v>20</v>
      </c>
      <c r="E880">
        <v>2611</v>
      </c>
    </row>
    <row r="881" spans="1:5" x14ac:dyDescent="0.25">
      <c r="A881" t="s">
        <v>193</v>
      </c>
      <c r="B881" t="s">
        <v>16</v>
      </c>
      <c r="C881" t="s">
        <v>19</v>
      </c>
      <c r="D881" t="s">
        <v>20</v>
      </c>
      <c r="E881">
        <v>11296</v>
      </c>
    </row>
    <row r="882" spans="1:5" x14ac:dyDescent="0.25">
      <c r="A882" t="s">
        <v>193</v>
      </c>
      <c r="B882" t="s">
        <v>16</v>
      </c>
      <c r="C882" t="s">
        <v>4</v>
      </c>
      <c r="D882" t="s">
        <v>42</v>
      </c>
      <c r="E882">
        <v>316</v>
      </c>
    </row>
    <row r="883" spans="1:5" x14ac:dyDescent="0.25">
      <c r="A883" t="s">
        <v>193</v>
      </c>
      <c r="B883" t="s">
        <v>16</v>
      </c>
      <c r="C883" t="s">
        <v>19</v>
      </c>
      <c r="D883" t="s">
        <v>42</v>
      </c>
      <c r="E883">
        <v>316</v>
      </c>
    </row>
    <row r="884" spans="1:5" x14ac:dyDescent="0.25">
      <c r="A884" t="s">
        <v>193</v>
      </c>
      <c r="B884" t="s">
        <v>16</v>
      </c>
      <c r="C884" t="s">
        <v>4</v>
      </c>
      <c r="D884" t="s">
        <v>43</v>
      </c>
      <c r="E884">
        <v>3041</v>
      </c>
    </row>
    <row r="885" spans="1:5" x14ac:dyDescent="0.25">
      <c r="A885" t="s">
        <v>193</v>
      </c>
      <c r="B885" t="s">
        <v>16</v>
      </c>
      <c r="C885" t="s">
        <v>5</v>
      </c>
      <c r="D885" t="s">
        <v>43</v>
      </c>
      <c r="E885">
        <v>844</v>
      </c>
    </row>
    <row r="886" spans="1:5" x14ac:dyDescent="0.25">
      <c r="A886" t="s">
        <v>193</v>
      </c>
      <c r="B886" t="s">
        <v>16</v>
      </c>
      <c r="C886" t="s">
        <v>19</v>
      </c>
      <c r="D886" t="s">
        <v>43</v>
      </c>
      <c r="E886">
        <v>3885</v>
      </c>
    </row>
    <row r="887" spans="1:5" x14ac:dyDescent="0.25">
      <c r="A887" t="s">
        <v>193</v>
      </c>
      <c r="B887" t="s">
        <v>16</v>
      </c>
      <c r="C887" t="s">
        <v>4</v>
      </c>
      <c r="D887" t="s">
        <v>44</v>
      </c>
      <c r="E887">
        <v>4761</v>
      </c>
    </row>
    <row r="888" spans="1:5" x14ac:dyDescent="0.25">
      <c r="A888" t="s">
        <v>193</v>
      </c>
      <c r="B888" t="s">
        <v>16</v>
      </c>
      <c r="C888" t="s">
        <v>18</v>
      </c>
      <c r="D888" t="s">
        <v>44</v>
      </c>
      <c r="E888">
        <v>567</v>
      </c>
    </row>
    <row r="889" spans="1:5" x14ac:dyDescent="0.25">
      <c r="A889" t="s">
        <v>193</v>
      </c>
      <c r="B889" t="s">
        <v>16</v>
      </c>
      <c r="C889" t="s">
        <v>5</v>
      </c>
      <c r="D889" t="s">
        <v>44</v>
      </c>
      <c r="E889">
        <v>1767</v>
      </c>
    </row>
    <row r="890" spans="1:5" x14ac:dyDescent="0.25">
      <c r="A890" t="s">
        <v>193</v>
      </c>
      <c r="B890" t="s">
        <v>16</v>
      </c>
      <c r="C890" t="s">
        <v>19</v>
      </c>
      <c r="D890" t="s">
        <v>44</v>
      </c>
      <c r="E890">
        <v>7095</v>
      </c>
    </row>
    <row r="891" spans="1:5" x14ac:dyDescent="0.25">
      <c r="A891" t="s">
        <v>193</v>
      </c>
      <c r="B891" t="s">
        <v>16</v>
      </c>
      <c r="C891" t="s">
        <v>4</v>
      </c>
      <c r="D891" t="s">
        <v>21</v>
      </c>
      <c r="E891">
        <v>0.95</v>
      </c>
    </row>
    <row r="892" spans="1:5" x14ac:dyDescent="0.25">
      <c r="A892" t="s">
        <v>193</v>
      </c>
      <c r="B892" t="s">
        <v>16</v>
      </c>
      <c r="C892" t="s">
        <v>18</v>
      </c>
      <c r="D892" t="s">
        <v>21</v>
      </c>
      <c r="E892">
        <v>0.43</v>
      </c>
    </row>
    <row r="893" spans="1:5" x14ac:dyDescent="0.25">
      <c r="A893" t="s">
        <v>193</v>
      </c>
      <c r="B893" t="s">
        <v>16</v>
      </c>
      <c r="C893" t="s">
        <v>5</v>
      </c>
      <c r="D893" t="s">
        <v>21</v>
      </c>
      <c r="E893">
        <v>0.96</v>
      </c>
    </row>
    <row r="894" spans="1:5" x14ac:dyDescent="0.25">
      <c r="A894" t="s">
        <v>193</v>
      </c>
      <c r="B894" t="s">
        <v>16</v>
      </c>
      <c r="C894" t="s">
        <v>19</v>
      </c>
      <c r="D894" t="s">
        <v>21</v>
      </c>
      <c r="E894">
        <v>2.34</v>
      </c>
    </row>
    <row r="895" spans="1:5" x14ac:dyDescent="0.25">
      <c r="A895" t="s">
        <v>193</v>
      </c>
      <c r="B895" t="s">
        <v>16</v>
      </c>
      <c r="C895" t="s">
        <v>4</v>
      </c>
      <c r="D895" t="s">
        <v>22</v>
      </c>
      <c r="E895">
        <v>0.14000000000000001</v>
      </c>
    </row>
    <row r="896" spans="1:5" x14ac:dyDescent="0.25">
      <c r="A896" t="s">
        <v>193</v>
      </c>
      <c r="B896" t="s">
        <v>16</v>
      </c>
      <c r="C896" t="s">
        <v>18</v>
      </c>
      <c r="D896" t="s">
        <v>22</v>
      </c>
      <c r="E896">
        <v>0.19</v>
      </c>
    </row>
    <row r="897" spans="1:5" x14ac:dyDescent="0.25">
      <c r="A897" t="s">
        <v>193</v>
      </c>
      <c r="B897" t="s">
        <v>16</v>
      </c>
      <c r="C897" t="s">
        <v>5</v>
      </c>
      <c r="D897" t="s">
        <v>22</v>
      </c>
      <c r="E897">
        <v>0.1</v>
      </c>
    </row>
    <row r="898" spans="1:5" x14ac:dyDescent="0.25">
      <c r="A898" t="s">
        <v>193</v>
      </c>
      <c r="B898" t="s">
        <v>16</v>
      </c>
      <c r="C898" t="s">
        <v>19</v>
      </c>
      <c r="D898" t="s">
        <v>22</v>
      </c>
      <c r="E898">
        <v>0.43</v>
      </c>
    </row>
    <row r="899" spans="1:5" x14ac:dyDescent="0.25">
      <c r="A899" t="s">
        <v>193</v>
      </c>
      <c r="B899" t="s">
        <v>16</v>
      </c>
      <c r="C899" t="s">
        <v>4</v>
      </c>
      <c r="D899" t="s">
        <v>23</v>
      </c>
      <c r="E899">
        <v>0.15</v>
      </c>
    </row>
    <row r="900" spans="1:5" x14ac:dyDescent="0.25">
      <c r="A900" t="s">
        <v>193</v>
      </c>
      <c r="B900" t="s">
        <v>16</v>
      </c>
      <c r="C900" t="s">
        <v>18</v>
      </c>
      <c r="D900" t="s">
        <v>23</v>
      </c>
      <c r="E900">
        <v>0.27</v>
      </c>
    </row>
    <row r="901" spans="1:5" x14ac:dyDescent="0.25">
      <c r="A901" t="s">
        <v>193</v>
      </c>
      <c r="B901" t="s">
        <v>16</v>
      </c>
      <c r="C901" t="s">
        <v>5</v>
      </c>
      <c r="D901" t="s">
        <v>23</v>
      </c>
      <c r="E901">
        <v>0.18</v>
      </c>
    </row>
    <row r="902" spans="1:5" x14ac:dyDescent="0.25">
      <c r="A902" t="s">
        <v>193</v>
      </c>
      <c r="B902" t="s">
        <v>16</v>
      </c>
      <c r="C902" t="s">
        <v>19</v>
      </c>
      <c r="D902" t="s">
        <v>23</v>
      </c>
      <c r="E902">
        <v>0.61</v>
      </c>
    </row>
    <row r="903" spans="1:5" x14ac:dyDescent="0.25">
      <c r="A903" t="s">
        <v>193</v>
      </c>
      <c r="B903" t="s">
        <v>16</v>
      </c>
      <c r="C903" t="s">
        <v>4</v>
      </c>
      <c r="D903" t="s">
        <v>621</v>
      </c>
      <c r="E903">
        <v>0.71</v>
      </c>
    </row>
    <row r="904" spans="1:5" x14ac:dyDescent="0.25">
      <c r="A904" t="s">
        <v>193</v>
      </c>
      <c r="B904" t="s">
        <v>16</v>
      </c>
      <c r="C904" t="s">
        <v>18</v>
      </c>
      <c r="D904" t="s">
        <v>621</v>
      </c>
      <c r="E904">
        <v>0.53</v>
      </c>
    </row>
    <row r="905" spans="1:5" x14ac:dyDescent="0.25">
      <c r="A905" t="s">
        <v>193</v>
      </c>
      <c r="B905" t="s">
        <v>16</v>
      </c>
      <c r="C905" t="s">
        <v>5</v>
      </c>
      <c r="D905" t="s">
        <v>621</v>
      </c>
      <c r="E905">
        <v>0.71</v>
      </c>
    </row>
    <row r="906" spans="1:5" x14ac:dyDescent="0.25">
      <c r="A906" t="s">
        <v>193</v>
      </c>
      <c r="B906" t="s">
        <v>16</v>
      </c>
      <c r="C906" t="s">
        <v>19</v>
      </c>
      <c r="D906" t="s">
        <v>621</v>
      </c>
      <c r="E906">
        <v>1.96</v>
      </c>
    </row>
    <row r="907" spans="1:5" x14ac:dyDescent="0.25">
      <c r="A907" t="s">
        <v>193</v>
      </c>
      <c r="B907" t="s">
        <v>16</v>
      </c>
      <c r="C907" t="s">
        <v>4</v>
      </c>
      <c r="D907" t="s">
        <v>24</v>
      </c>
      <c r="E907">
        <v>327.78</v>
      </c>
    </row>
    <row r="908" spans="1:5" x14ac:dyDescent="0.25">
      <c r="A908" t="s">
        <v>193</v>
      </c>
      <c r="B908" t="s">
        <v>16</v>
      </c>
      <c r="C908" t="s">
        <v>18</v>
      </c>
      <c r="D908" t="s">
        <v>24</v>
      </c>
      <c r="E908">
        <v>85.07</v>
      </c>
    </row>
    <row r="909" spans="1:5" x14ac:dyDescent="0.25">
      <c r="A909" t="s">
        <v>193</v>
      </c>
      <c r="B909" t="s">
        <v>16</v>
      </c>
      <c r="C909" t="s">
        <v>5</v>
      </c>
      <c r="D909" t="s">
        <v>24</v>
      </c>
      <c r="E909">
        <v>185.92</v>
      </c>
    </row>
    <row r="910" spans="1:5" x14ac:dyDescent="0.25">
      <c r="A910" t="s">
        <v>193</v>
      </c>
      <c r="B910" t="s">
        <v>16</v>
      </c>
      <c r="C910" t="s">
        <v>19</v>
      </c>
      <c r="D910" t="s">
        <v>24</v>
      </c>
      <c r="E910">
        <v>598.77</v>
      </c>
    </row>
    <row r="911" spans="1:5" x14ac:dyDescent="0.25">
      <c r="A911" t="s">
        <v>193</v>
      </c>
      <c r="B911" t="s">
        <v>16</v>
      </c>
      <c r="C911" t="s">
        <v>19</v>
      </c>
      <c r="D911" t="s">
        <v>45</v>
      </c>
      <c r="E911">
        <v>2171304</v>
      </c>
    </row>
    <row r="912" spans="1:5" x14ac:dyDescent="0.25">
      <c r="A912" t="s">
        <v>193</v>
      </c>
      <c r="B912" t="s">
        <v>16</v>
      </c>
      <c r="C912" t="s">
        <v>19</v>
      </c>
      <c r="D912" t="s">
        <v>46</v>
      </c>
      <c r="E912">
        <v>40588</v>
      </c>
    </row>
    <row r="913" spans="1:5" x14ac:dyDescent="0.25">
      <c r="A913" t="s">
        <v>209</v>
      </c>
      <c r="B913" t="s">
        <v>16</v>
      </c>
      <c r="C913" t="s">
        <v>4</v>
      </c>
      <c r="D913" t="s">
        <v>48</v>
      </c>
      <c r="E913">
        <v>102281</v>
      </c>
    </row>
    <row r="914" spans="1:5" x14ac:dyDescent="0.25">
      <c r="A914" t="s">
        <v>209</v>
      </c>
      <c r="B914" t="s">
        <v>16</v>
      </c>
      <c r="C914" t="s">
        <v>5</v>
      </c>
      <c r="D914" t="s">
        <v>48</v>
      </c>
      <c r="E914">
        <v>50931</v>
      </c>
    </row>
    <row r="915" spans="1:5" x14ac:dyDescent="0.25">
      <c r="A915" t="s">
        <v>209</v>
      </c>
      <c r="B915" t="s">
        <v>16</v>
      </c>
      <c r="C915" t="s">
        <v>19</v>
      </c>
      <c r="D915" t="s">
        <v>48</v>
      </c>
      <c r="E915">
        <v>153212</v>
      </c>
    </row>
    <row r="916" spans="1:5" x14ac:dyDescent="0.25">
      <c r="A916" t="s">
        <v>209</v>
      </c>
      <c r="B916" t="s">
        <v>16</v>
      </c>
      <c r="C916" t="s">
        <v>4</v>
      </c>
      <c r="D916" t="s">
        <v>49</v>
      </c>
      <c r="E916">
        <v>490103</v>
      </c>
    </row>
    <row r="917" spans="1:5" x14ac:dyDescent="0.25">
      <c r="A917" t="s">
        <v>209</v>
      </c>
      <c r="B917" t="s">
        <v>16</v>
      </c>
      <c r="C917" t="s">
        <v>18</v>
      </c>
      <c r="D917" t="s">
        <v>49</v>
      </c>
      <c r="E917">
        <v>47617</v>
      </c>
    </row>
    <row r="918" spans="1:5" x14ac:dyDescent="0.25">
      <c r="A918" t="s">
        <v>209</v>
      </c>
      <c r="B918" t="s">
        <v>16</v>
      </c>
      <c r="C918" t="s">
        <v>5</v>
      </c>
      <c r="D918" t="s">
        <v>49</v>
      </c>
      <c r="E918">
        <v>239966</v>
      </c>
    </row>
    <row r="919" spans="1:5" x14ac:dyDescent="0.25">
      <c r="A919" t="s">
        <v>209</v>
      </c>
      <c r="B919" t="s">
        <v>16</v>
      </c>
      <c r="C919" t="s">
        <v>19</v>
      </c>
      <c r="D919" t="s">
        <v>49</v>
      </c>
      <c r="E919">
        <v>777686</v>
      </c>
    </row>
    <row r="920" spans="1:5" x14ac:dyDescent="0.25">
      <c r="A920" t="s">
        <v>209</v>
      </c>
      <c r="B920" t="s">
        <v>16</v>
      </c>
      <c r="C920" t="s">
        <v>4</v>
      </c>
      <c r="D920" t="s">
        <v>50</v>
      </c>
      <c r="E920">
        <v>1625</v>
      </c>
    </row>
    <row r="921" spans="1:5" x14ac:dyDescent="0.25">
      <c r="A921" t="s">
        <v>209</v>
      </c>
      <c r="B921" t="s">
        <v>16</v>
      </c>
      <c r="C921" t="s">
        <v>18</v>
      </c>
      <c r="D921" t="s">
        <v>50</v>
      </c>
      <c r="E921">
        <v>15774</v>
      </c>
    </row>
    <row r="922" spans="1:5" x14ac:dyDescent="0.25">
      <c r="A922" t="s">
        <v>209</v>
      </c>
      <c r="B922" t="s">
        <v>16</v>
      </c>
      <c r="C922" t="s">
        <v>5</v>
      </c>
      <c r="D922" t="s">
        <v>50</v>
      </c>
      <c r="E922">
        <v>33172</v>
      </c>
    </row>
    <row r="923" spans="1:5" x14ac:dyDescent="0.25">
      <c r="A923" t="s">
        <v>209</v>
      </c>
      <c r="B923" t="s">
        <v>16</v>
      </c>
      <c r="C923" t="s">
        <v>19</v>
      </c>
      <c r="D923" t="s">
        <v>50</v>
      </c>
      <c r="E923">
        <v>50571</v>
      </c>
    </row>
    <row r="924" spans="1:5" x14ac:dyDescent="0.25">
      <c r="A924" t="s">
        <v>209</v>
      </c>
      <c r="B924" t="s">
        <v>16</v>
      </c>
      <c r="C924" t="s">
        <v>18</v>
      </c>
      <c r="D924" t="s">
        <v>59</v>
      </c>
      <c r="E924" t="s">
        <v>210</v>
      </c>
    </row>
    <row r="925" spans="1:5" x14ac:dyDescent="0.25">
      <c r="A925" t="s">
        <v>209</v>
      </c>
      <c r="B925" t="s">
        <v>16</v>
      </c>
      <c r="C925" t="s">
        <v>4</v>
      </c>
      <c r="D925" t="s">
        <v>59</v>
      </c>
      <c r="E925" t="s">
        <v>211</v>
      </c>
    </row>
    <row r="926" spans="1:5" x14ac:dyDescent="0.25">
      <c r="A926" t="s">
        <v>209</v>
      </c>
      <c r="B926" t="s">
        <v>16</v>
      </c>
      <c r="C926" t="s">
        <v>5</v>
      </c>
      <c r="D926" t="s">
        <v>59</v>
      </c>
      <c r="E926" t="s">
        <v>212</v>
      </c>
    </row>
    <row r="927" spans="1:5" x14ac:dyDescent="0.25">
      <c r="A927" t="s">
        <v>209</v>
      </c>
      <c r="B927" t="s">
        <v>16</v>
      </c>
      <c r="C927" t="s">
        <v>4</v>
      </c>
      <c r="D927" t="s">
        <v>63</v>
      </c>
      <c r="E927" t="s">
        <v>213</v>
      </c>
    </row>
    <row r="928" spans="1:5" x14ac:dyDescent="0.25">
      <c r="A928" t="s">
        <v>209</v>
      </c>
      <c r="B928" t="s">
        <v>16</v>
      </c>
      <c r="C928" t="s">
        <v>18</v>
      </c>
      <c r="D928" t="s">
        <v>63</v>
      </c>
      <c r="E928" t="s">
        <v>214</v>
      </c>
    </row>
    <row r="929" spans="1:5" x14ac:dyDescent="0.25">
      <c r="A929" t="s">
        <v>209</v>
      </c>
      <c r="B929" t="s">
        <v>16</v>
      </c>
      <c r="C929" t="s">
        <v>5</v>
      </c>
      <c r="D929" t="s">
        <v>63</v>
      </c>
      <c r="E929" t="s">
        <v>215</v>
      </c>
    </row>
    <row r="930" spans="1:5" x14ac:dyDescent="0.25">
      <c r="A930" t="s">
        <v>209</v>
      </c>
      <c r="B930" t="s">
        <v>16</v>
      </c>
      <c r="C930" t="s">
        <v>4</v>
      </c>
      <c r="D930" t="s">
        <v>67</v>
      </c>
      <c r="E930" t="s">
        <v>216</v>
      </c>
    </row>
    <row r="931" spans="1:5" x14ac:dyDescent="0.25">
      <c r="A931" t="s">
        <v>209</v>
      </c>
      <c r="B931" t="s">
        <v>16</v>
      </c>
      <c r="C931" t="s">
        <v>18</v>
      </c>
      <c r="D931" t="s">
        <v>67</v>
      </c>
      <c r="E931" t="s">
        <v>217</v>
      </c>
    </row>
    <row r="932" spans="1:5" x14ac:dyDescent="0.25">
      <c r="A932" t="s">
        <v>209</v>
      </c>
      <c r="B932" t="s">
        <v>16</v>
      </c>
      <c r="C932" t="s">
        <v>5</v>
      </c>
      <c r="D932" t="s">
        <v>67</v>
      </c>
      <c r="E932" t="s">
        <v>218</v>
      </c>
    </row>
    <row r="933" spans="1:5" x14ac:dyDescent="0.25">
      <c r="A933" t="s">
        <v>209</v>
      </c>
      <c r="B933" t="s">
        <v>16</v>
      </c>
      <c r="C933" t="s">
        <v>4</v>
      </c>
      <c r="D933" t="s">
        <v>6</v>
      </c>
      <c r="E933">
        <v>11801</v>
      </c>
    </row>
    <row r="934" spans="1:5" x14ac:dyDescent="0.25">
      <c r="A934" t="s">
        <v>209</v>
      </c>
      <c r="B934" t="s">
        <v>16</v>
      </c>
      <c r="C934" t="s">
        <v>18</v>
      </c>
      <c r="D934" t="s">
        <v>6</v>
      </c>
      <c r="E934">
        <v>372</v>
      </c>
    </row>
    <row r="935" spans="1:5" x14ac:dyDescent="0.25">
      <c r="A935" t="s">
        <v>209</v>
      </c>
      <c r="B935" t="s">
        <v>16</v>
      </c>
      <c r="C935" t="s">
        <v>5</v>
      </c>
      <c r="D935" t="s">
        <v>6</v>
      </c>
      <c r="E935">
        <v>3012</v>
      </c>
    </row>
    <row r="936" spans="1:5" x14ac:dyDescent="0.25">
      <c r="A936" t="s">
        <v>209</v>
      </c>
      <c r="B936" t="s">
        <v>16</v>
      </c>
      <c r="C936" t="s">
        <v>19</v>
      </c>
      <c r="D936" t="s">
        <v>6</v>
      </c>
      <c r="E936">
        <v>15185</v>
      </c>
    </row>
    <row r="937" spans="1:5" x14ac:dyDescent="0.25">
      <c r="A937" t="s">
        <v>209</v>
      </c>
      <c r="B937" t="s">
        <v>16</v>
      </c>
      <c r="C937" t="s">
        <v>4</v>
      </c>
      <c r="D937" t="s">
        <v>17</v>
      </c>
      <c r="E937">
        <v>526</v>
      </c>
    </row>
    <row r="938" spans="1:5" x14ac:dyDescent="0.25">
      <c r="A938" t="s">
        <v>209</v>
      </c>
      <c r="B938" t="s">
        <v>16</v>
      </c>
      <c r="C938" t="s">
        <v>18</v>
      </c>
      <c r="D938" t="s">
        <v>17</v>
      </c>
      <c r="E938">
        <v>1</v>
      </c>
    </row>
    <row r="939" spans="1:5" x14ac:dyDescent="0.25">
      <c r="A939" t="s">
        <v>209</v>
      </c>
      <c r="B939" t="s">
        <v>16</v>
      </c>
      <c r="C939" t="s">
        <v>5</v>
      </c>
      <c r="D939" t="s">
        <v>17</v>
      </c>
      <c r="E939">
        <v>92</v>
      </c>
    </row>
    <row r="940" spans="1:5" x14ac:dyDescent="0.25">
      <c r="A940" t="s">
        <v>209</v>
      </c>
      <c r="B940" t="s">
        <v>16</v>
      </c>
      <c r="C940" t="s">
        <v>19</v>
      </c>
      <c r="D940" t="s">
        <v>17</v>
      </c>
      <c r="E940">
        <v>619</v>
      </c>
    </row>
    <row r="941" spans="1:5" x14ac:dyDescent="0.25">
      <c r="A941" t="s">
        <v>209</v>
      </c>
      <c r="B941" t="s">
        <v>16</v>
      </c>
      <c r="C941" t="s">
        <v>4</v>
      </c>
      <c r="D941" t="s">
        <v>29</v>
      </c>
      <c r="E941" t="s">
        <v>219</v>
      </c>
    </row>
    <row r="942" spans="1:5" x14ac:dyDescent="0.25">
      <c r="A942" t="s">
        <v>209</v>
      </c>
      <c r="B942" t="s">
        <v>16</v>
      </c>
      <c r="C942" t="s">
        <v>4</v>
      </c>
      <c r="D942" t="s">
        <v>31</v>
      </c>
      <c r="E942" t="s">
        <v>220</v>
      </c>
    </row>
    <row r="943" spans="1:5" x14ac:dyDescent="0.25">
      <c r="A943" t="s">
        <v>209</v>
      </c>
      <c r="B943" t="s">
        <v>16</v>
      </c>
      <c r="C943" t="s">
        <v>5</v>
      </c>
      <c r="D943" t="s">
        <v>31</v>
      </c>
      <c r="E943" t="s">
        <v>189</v>
      </c>
    </row>
    <row r="944" spans="1:5" x14ac:dyDescent="0.25">
      <c r="A944" t="s">
        <v>209</v>
      </c>
      <c r="B944" t="s">
        <v>16</v>
      </c>
      <c r="C944" t="s">
        <v>4</v>
      </c>
      <c r="D944" t="s">
        <v>34</v>
      </c>
      <c r="E944" t="s">
        <v>173</v>
      </c>
    </row>
    <row r="945" spans="1:5" x14ac:dyDescent="0.25">
      <c r="A945" t="s">
        <v>209</v>
      </c>
      <c r="B945" t="s">
        <v>16</v>
      </c>
      <c r="C945" t="s">
        <v>18</v>
      </c>
      <c r="D945" t="s">
        <v>34</v>
      </c>
      <c r="E945" t="s">
        <v>204</v>
      </c>
    </row>
    <row r="946" spans="1:5" x14ac:dyDescent="0.25">
      <c r="A946" t="s">
        <v>209</v>
      </c>
      <c r="B946" t="s">
        <v>16</v>
      </c>
      <c r="C946" t="s">
        <v>5</v>
      </c>
      <c r="D946" t="s">
        <v>34</v>
      </c>
      <c r="E946" t="s">
        <v>221</v>
      </c>
    </row>
    <row r="947" spans="1:5" x14ac:dyDescent="0.25">
      <c r="A947" t="s">
        <v>209</v>
      </c>
      <c r="B947" t="s">
        <v>16</v>
      </c>
      <c r="C947" t="s">
        <v>4</v>
      </c>
      <c r="D947" t="s">
        <v>38</v>
      </c>
      <c r="E947" t="s">
        <v>222</v>
      </c>
    </row>
    <row r="948" spans="1:5" x14ac:dyDescent="0.25">
      <c r="A948" t="s">
        <v>209</v>
      </c>
      <c r="B948" t="s">
        <v>16</v>
      </c>
      <c r="C948" t="s">
        <v>18</v>
      </c>
      <c r="D948" t="s">
        <v>38</v>
      </c>
      <c r="E948" t="s">
        <v>223</v>
      </c>
    </row>
    <row r="949" spans="1:5" x14ac:dyDescent="0.25">
      <c r="A949" t="s">
        <v>209</v>
      </c>
      <c r="B949" t="s">
        <v>16</v>
      </c>
      <c r="C949" t="s">
        <v>5</v>
      </c>
      <c r="D949" t="s">
        <v>38</v>
      </c>
      <c r="E949" t="s">
        <v>224</v>
      </c>
    </row>
    <row r="950" spans="1:5" x14ac:dyDescent="0.25">
      <c r="A950" t="s">
        <v>209</v>
      </c>
      <c r="B950" t="s">
        <v>16</v>
      </c>
      <c r="C950" t="s">
        <v>4</v>
      </c>
      <c r="D950" t="s">
        <v>79</v>
      </c>
      <c r="E950">
        <v>588931</v>
      </c>
    </row>
    <row r="951" spans="1:5" x14ac:dyDescent="0.25">
      <c r="A951" t="s">
        <v>209</v>
      </c>
      <c r="B951" t="s">
        <v>16</v>
      </c>
      <c r="C951" t="s">
        <v>18</v>
      </c>
      <c r="D951" t="s">
        <v>79</v>
      </c>
      <c r="E951">
        <v>41604</v>
      </c>
    </row>
    <row r="952" spans="1:5" x14ac:dyDescent="0.25">
      <c r="A952" t="s">
        <v>209</v>
      </c>
      <c r="B952" t="s">
        <v>16</v>
      </c>
      <c r="C952" t="s">
        <v>5</v>
      </c>
      <c r="D952" t="s">
        <v>79</v>
      </c>
      <c r="E952">
        <v>399136</v>
      </c>
    </row>
    <row r="953" spans="1:5" x14ac:dyDescent="0.25">
      <c r="A953" t="s">
        <v>209</v>
      </c>
      <c r="B953" t="s">
        <v>16</v>
      </c>
      <c r="C953" t="s">
        <v>19</v>
      </c>
      <c r="D953" t="s">
        <v>79</v>
      </c>
      <c r="E953">
        <v>1029671</v>
      </c>
    </row>
    <row r="954" spans="1:5" x14ac:dyDescent="0.25">
      <c r="A954" t="s">
        <v>209</v>
      </c>
      <c r="B954" t="s">
        <v>16</v>
      </c>
      <c r="C954" t="s">
        <v>4</v>
      </c>
      <c r="D954" t="s">
        <v>20</v>
      </c>
      <c r="E954">
        <v>7700</v>
      </c>
    </row>
    <row r="955" spans="1:5" x14ac:dyDescent="0.25">
      <c r="A955" t="s">
        <v>209</v>
      </c>
      <c r="B955" t="s">
        <v>16</v>
      </c>
      <c r="C955" t="s">
        <v>18</v>
      </c>
      <c r="D955" t="s">
        <v>20</v>
      </c>
      <c r="E955">
        <v>654</v>
      </c>
    </row>
    <row r="956" spans="1:5" x14ac:dyDescent="0.25">
      <c r="A956" t="s">
        <v>209</v>
      </c>
      <c r="B956" t="s">
        <v>16</v>
      </c>
      <c r="C956" t="s">
        <v>5</v>
      </c>
      <c r="D956" t="s">
        <v>20</v>
      </c>
      <c r="E956">
        <v>2672</v>
      </c>
    </row>
    <row r="957" spans="1:5" x14ac:dyDescent="0.25">
      <c r="A957" t="s">
        <v>209</v>
      </c>
      <c r="B957" t="s">
        <v>16</v>
      </c>
      <c r="C957" t="s">
        <v>19</v>
      </c>
      <c r="D957" t="s">
        <v>20</v>
      </c>
      <c r="E957">
        <v>11026</v>
      </c>
    </row>
    <row r="958" spans="1:5" x14ac:dyDescent="0.25">
      <c r="A958" t="s">
        <v>209</v>
      </c>
      <c r="B958" t="s">
        <v>16</v>
      </c>
      <c r="C958" t="s">
        <v>4</v>
      </c>
      <c r="D958" t="s">
        <v>42</v>
      </c>
      <c r="E958">
        <v>255</v>
      </c>
    </row>
    <row r="959" spans="1:5" x14ac:dyDescent="0.25">
      <c r="A959" t="s">
        <v>209</v>
      </c>
      <c r="B959" t="s">
        <v>16</v>
      </c>
      <c r="C959" t="s">
        <v>19</v>
      </c>
      <c r="D959" t="s">
        <v>42</v>
      </c>
      <c r="E959">
        <v>255</v>
      </c>
    </row>
    <row r="960" spans="1:5" x14ac:dyDescent="0.25">
      <c r="A960" t="s">
        <v>209</v>
      </c>
      <c r="B960" t="s">
        <v>16</v>
      </c>
      <c r="C960" t="s">
        <v>4</v>
      </c>
      <c r="D960" t="s">
        <v>43</v>
      </c>
      <c r="E960">
        <v>2948</v>
      </c>
    </row>
    <row r="961" spans="1:5" x14ac:dyDescent="0.25">
      <c r="A961" t="s">
        <v>209</v>
      </c>
      <c r="B961" t="s">
        <v>16</v>
      </c>
      <c r="C961" t="s">
        <v>5</v>
      </c>
      <c r="D961" t="s">
        <v>43</v>
      </c>
      <c r="E961">
        <v>855</v>
      </c>
    </row>
    <row r="962" spans="1:5" x14ac:dyDescent="0.25">
      <c r="A962" t="s">
        <v>209</v>
      </c>
      <c r="B962" t="s">
        <v>16</v>
      </c>
      <c r="C962" t="s">
        <v>19</v>
      </c>
      <c r="D962" t="s">
        <v>43</v>
      </c>
      <c r="E962">
        <v>3803</v>
      </c>
    </row>
    <row r="963" spans="1:5" x14ac:dyDescent="0.25">
      <c r="A963" t="s">
        <v>209</v>
      </c>
      <c r="B963" t="s">
        <v>16</v>
      </c>
      <c r="C963" t="s">
        <v>4</v>
      </c>
      <c r="D963" t="s">
        <v>44</v>
      </c>
      <c r="E963">
        <v>4497</v>
      </c>
    </row>
    <row r="964" spans="1:5" x14ac:dyDescent="0.25">
      <c r="A964" t="s">
        <v>209</v>
      </c>
      <c r="B964" t="s">
        <v>16</v>
      </c>
      <c r="C964" t="s">
        <v>18</v>
      </c>
      <c r="D964" t="s">
        <v>44</v>
      </c>
      <c r="E964">
        <v>654</v>
      </c>
    </row>
    <row r="965" spans="1:5" x14ac:dyDescent="0.25">
      <c r="A965" t="s">
        <v>209</v>
      </c>
      <c r="B965" t="s">
        <v>16</v>
      </c>
      <c r="C965" t="s">
        <v>5</v>
      </c>
      <c r="D965" t="s">
        <v>44</v>
      </c>
      <c r="E965">
        <v>1817</v>
      </c>
    </row>
    <row r="966" spans="1:5" x14ac:dyDescent="0.25">
      <c r="A966" t="s">
        <v>209</v>
      </c>
      <c r="B966" t="s">
        <v>16</v>
      </c>
      <c r="C966" t="s">
        <v>19</v>
      </c>
      <c r="D966" t="s">
        <v>44</v>
      </c>
      <c r="E966">
        <v>6968</v>
      </c>
    </row>
    <row r="967" spans="1:5" x14ac:dyDescent="0.25">
      <c r="A967" t="s">
        <v>209</v>
      </c>
      <c r="B967" t="s">
        <v>16</v>
      </c>
      <c r="C967" t="s">
        <v>4</v>
      </c>
      <c r="D967" t="s">
        <v>21</v>
      </c>
      <c r="E967">
        <v>0.93163337806899804</v>
      </c>
    </row>
    <row r="968" spans="1:5" x14ac:dyDescent="0.25">
      <c r="A968" t="s">
        <v>209</v>
      </c>
      <c r="B968" t="s">
        <v>16</v>
      </c>
      <c r="C968" t="s">
        <v>18</v>
      </c>
      <c r="D968" t="s">
        <v>21</v>
      </c>
      <c r="E968">
        <v>0.44391408114558473</v>
      </c>
    </row>
    <row r="969" spans="1:5" x14ac:dyDescent="0.25">
      <c r="A969" t="s">
        <v>209</v>
      </c>
      <c r="B969" t="s">
        <v>16</v>
      </c>
      <c r="C969" t="s">
        <v>5</v>
      </c>
      <c r="D969" t="s">
        <v>21</v>
      </c>
      <c r="E969">
        <v>0.96384000000000003</v>
      </c>
    </row>
    <row r="970" spans="1:5" x14ac:dyDescent="0.25">
      <c r="A970" t="s">
        <v>209</v>
      </c>
      <c r="B970" t="s">
        <v>16</v>
      </c>
      <c r="C970" t="s">
        <v>19</v>
      </c>
      <c r="D970" t="s">
        <v>21</v>
      </c>
      <c r="E970">
        <v>2.3393874592145831</v>
      </c>
    </row>
    <row r="971" spans="1:5" x14ac:dyDescent="0.25">
      <c r="A971" t="s">
        <v>209</v>
      </c>
      <c r="B971" t="s">
        <v>16</v>
      </c>
      <c r="C971" t="s">
        <v>4</v>
      </c>
      <c r="D971" t="s">
        <v>22</v>
      </c>
      <c r="E971">
        <v>0.13294386989816057</v>
      </c>
    </row>
    <row r="972" spans="1:5" x14ac:dyDescent="0.25">
      <c r="A972" t="s">
        <v>209</v>
      </c>
      <c r="B972" t="s">
        <v>16</v>
      </c>
      <c r="C972" t="s">
        <v>18</v>
      </c>
      <c r="D972" t="s">
        <v>22</v>
      </c>
      <c r="E972">
        <v>0.21360381861575176</v>
      </c>
    </row>
    <row r="973" spans="1:5" x14ac:dyDescent="0.25">
      <c r="A973" t="s">
        <v>209</v>
      </c>
      <c r="B973" t="s">
        <v>16</v>
      </c>
      <c r="C973" t="s">
        <v>5</v>
      </c>
      <c r="D973" t="s">
        <v>22</v>
      </c>
      <c r="E973">
        <v>0.11104</v>
      </c>
    </row>
    <row r="974" spans="1:5" x14ac:dyDescent="0.25">
      <c r="A974" t="s">
        <v>209</v>
      </c>
      <c r="B974" t="s">
        <v>16</v>
      </c>
      <c r="C974" t="s">
        <v>19</v>
      </c>
      <c r="D974" t="s">
        <v>22</v>
      </c>
      <c r="E974">
        <v>0.45758768851391241</v>
      </c>
    </row>
    <row r="975" spans="1:5" x14ac:dyDescent="0.25">
      <c r="A975" t="s">
        <v>209</v>
      </c>
      <c r="B975" t="s">
        <v>16</v>
      </c>
      <c r="C975" t="s">
        <v>4</v>
      </c>
      <c r="D975" t="s">
        <v>23</v>
      </c>
      <c r="E975">
        <v>0.14210152364411463</v>
      </c>
    </row>
    <row r="976" spans="1:5" x14ac:dyDescent="0.25">
      <c r="A976" t="s">
        <v>209</v>
      </c>
      <c r="B976" t="s">
        <v>16</v>
      </c>
      <c r="C976" t="s">
        <v>18</v>
      </c>
      <c r="D976" t="s">
        <v>23</v>
      </c>
      <c r="E976">
        <v>0.27684964200477324</v>
      </c>
    </row>
    <row r="977" spans="1:5" x14ac:dyDescent="0.25">
      <c r="A977" t="s">
        <v>209</v>
      </c>
      <c r="B977" t="s">
        <v>16</v>
      </c>
      <c r="C977" t="s">
        <v>5</v>
      </c>
      <c r="D977" t="s">
        <v>23</v>
      </c>
      <c r="E977">
        <v>0.15712000000000001</v>
      </c>
    </row>
    <row r="978" spans="1:5" x14ac:dyDescent="0.25">
      <c r="A978" t="s">
        <v>209</v>
      </c>
      <c r="B978" t="s">
        <v>16</v>
      </c>
      <c r="C978" t="s">
        <v>19</v>
      </c>
      <c r="D978" t="s">
        <v>23</v>
      </c>
      <c r="E978">
        <v>0.57607116564888794</v>
      </c>
    </row>
    <row r="979" spans="1:5" x14ac:dyDescent="0.25">
      <c r="A979" t="s">
        <v>209</v>
      </c>
      <c r="B979" t="s">
        <v>16</v>
      </c>
      <c r="C979" t="s">
        <v>4</v>
      </c>
      <c r="D979" t="s">
        <v>621</v>
      </c>
      <c r="E979">
        <v>0.7249546064577248</v>
      </c>
    </row>
    <row r="980" spans="1:5" x14ac:dyDescent="0.25">
      <c r="A980" t="s">
        <v>209</v>
      </c>
      <c r="B980" t="s">
        <v>16</v>
      </c>
      <c r="C980" t="s">
        <v>18</v>
      </c>
      <c r="D980" t="s">
        <v>621</v>
      </c>
      <c r="E980">
        <v>0.50954653937947492</v>
      </c>
    </row>
    <row r="981" spans="1:5" x14ac:dyDescent="0.25">
      <c r="A981" t="s">
        <v>209</v>
      </c>
      <c r="B981" t="s">
        <v>16</v>
      </c>
      <c r="C981" t="s">
        <v>5</v>
      </c>
      <c r="D981" t="s">
        <v>621</v>
      </c>
      <c r="E981">
        <v>0.73184000000000005</v>
      </c>
    </row>
    <row r="982" spans="1:5" x14ac:dyDescent="0.25">
      <c r="A982" t="s">
        <v>209</v>
      </c>
      <c r="B982" t="s">
        <v>16</v>
      </c>
      <c r="C982" t="s">
        <v>19</v>
      </c>
      <c r="D982" t="s">
        <v>621</v>
      </c>
      <c r="E982">
        <v>1.9663411458372</v>
      </c>
    </row>
    <row r="983" spans="1:5" x14ac:dyDescent="0.25">
      <c r="A983" t="s">
        <v>209</v>
      </c>
      <c r="B983" t="s">
        <v>16</v>
      </c>
      <c r="C983" t="s">
        <v>4</v>
      </c>
      <c r="D983" t="s">
        <v>24</v>
      </c>
      <c r="E983">
        <v>279.49</v>
      </c>
    </row>
    <row r="984" spans="1:5" x14ac:dyDescent="0.25">
      <c r="A984" t="s">
        <v>209</v>
      </c>
      <c r="B984" t="s">
        <v>16</v>
      </c>
      <c r="C984" t="s">
        <v>18</v>
      </c>
      <c r="D984" t="s">
        <v>24</v>
      </c>
      <c r="E984">
        <v>100.75</v>
      </c>
    </row>
    <row r="985" spans="1:5" x14ac:dyDescent="0.25">
      <c r="A985" t="s">
        <v>209</v>
      </c>
      <c r="B985" t="s">
        <v>16</v>
      </c>
      <c r="C985" t="s">
        <v>5</v>
      </c>
      <c r="D985" t="s">
        <v>24</v>
      </c>
      <c r="E985">
        <v>225.89000000000004</v>
      </c>
    </row>
    <row r="986" spans="1:5" x14ac:dyDescent="0.25">
      <c r="A986" t="s">
        <v>209</v>
      </c>
      <c r="B986" t="s">
        <v>16</v>
      </c>
      <c r="C986" t="s">
        <v>19</v>
      </c>
      <c r="D986" t="s">
        <v>24</v>
      </c>
      <c r="E986">
        <v>606.13000000000011</v>
      </c>
    </row>
    <row r="987" spans="1:5" x14ac:dyDescent="0.25">
      <c r="A987" t="s">
        <v>209</v>
      </c>
      <c r="B987" t="s">
        <v>16</v>
      </c>
      <c r="C987" t="s">
        <v>19</v>
      </c>
      <c r="D987" t="s">
        <v>45</v>
      </c>
      <c r="E987">
        <v>2096489</v>
      </c>
    </row>
    <row r="988" spans="1:5" x14ac:dyDescent="0.25">
      <c r="A988" t="s">
        <v>209</v>
      </c>
      <c r="B988" t="s">
        <v>16</v>
      </c>
      <c r="C988" t="s">
        <v>19</v>
      </c>
      <c r="D988" t="s">
        <v>46</v>
      </c>
      <c r="E988">
        <v>39174</v>
      </c>
    </row>
    <row r="989" spans="1:5" x14ac:dyDescent="0.25">
      <c r="A989" t="s">
        <v>225</v>
      </c>
      <c r="B989" t="s">
        <v>16</v>
      </c>
      <c r="C989" t="s">
        <v>4</v>
      </c>
      <c r="D989" t="s">
        <v>226</v>
      </c>
      <c r="E989">
        <v>523033.0833</v>
      </c>
    </row>
    <row r="990" spans="1:5" x14ac:dyDescent="0.25">
      <c r="A990" t="s">
        <v>225</v>
      </c>
      <c r="B990" t="s">
        <v>16</v>
      </c>
      <c r="C990" t="s">
        <v>18</v>
      </c>
      <c r="D990" t="s">
        <v>226</v>
      </c>
      <c r="E990">
        <v>36014.416669999999</v>
      </c>
    </row>
    <row r="991" spans="1:5" x14ac:dyDescent="0.25">
      <c r="A991" t="s">
        <v>225</v>
      </c>
      <c r="B991" t="s">
        <v>16</v>
      </c>
      <c r="C991" t="s">
        <v>5</v>
      </c>
      <c r="D991" t="s">
        <v>226</v>
      </c>
      <c r="E991">
        <v>392155.1667</v>
      </c>
    </row>
    <row r="992" spans="1:5" x14ac:dyDescent="0.25">
      <c r="A992" t="s">
        <v>225</v>
      </c>
      <c r="B992" t="s">
        <v>16</v>
      </c>
      <c r="C992" t="s">
        <v>4</v>
      </c>
      <c r="D992" t="s">
        <v>48</v>
      </c>
      <c r="E992">
        <v>93819.416670000006</v>
      </c>
    </row>
    <row r="993" spans="1:5" x14ac:dyDescent="0.25">
      <c r="A993" t="s">
        <v>225</v>
      </c>
      <c r="B993" t="s">
        <v>16</v>
      </c>
      <c r="C993" t="s">
        <v>5</v>
      </c>
      <c r="D993" t="s">
        <v>48</v>
      </c>
      <c r="E993">
        <v>45948</v>
      </c>
    </row>
    <row r="994" spans="1:5" x14ac:dyDescent="0.25">
      <c r="A994" t="s">
        <v>225</v>
      </c>
      <c r="B994" t="s">
        <v>16</v>
      </c>
      <c r="C994" t="s">
        <v>4</v>
      </c>
      <c r="D994" t="s">
        <v>227</v>
      </c>
      <c r="E994">
        <v>116179.5</v>
      </c>
    </row>
    <row r="995" spans="1:5" x14ac:dyDescent="0.25">
      <c r="A995" t="s">
        <v>225</v>
      </c>
      <c r="B995" t="s">
        <v>16</v>
      </c>
      <c r="C995" t="s">
        <v>18</v>
      </c>
      <c r="D995" t="s">
        <v>227</v>
      </c>
      <c r="E995">
        <v>16865.75</v>
      </c>
    </row>
    <row r="996" spans="1:5" x14ac:dyDescent="0.25">
      <c r="A996" t="s">
        <v>225</v>
      </c>
      <c r="B996" t="s">
        <v>16</v>
      </c>
      <c r="C996" t="s">
        <v>5</v>
      </c>
      <c r="D996" t="s">
        <v>227</v>
      </c>
      <c r="E996">
        <v>47392.083330000001</v>
      </c>
    </row>
    <row r="997" spans="1:5" x14ac:dyDescent="0.25">
      <c r="A997" t="s">
        <v>225</v>
      </c>
      <c r="B997" t="s">
        <v>16</v>
      </c>
      <c r="C997" t="s">
        <v>4</v>
      </c>
      <c r="D997" t="s">
        <v>49</v>
      </c>
      <c r="E997">
        <v>190213.4167</v>
      </c>
    </row>
    <row r="998" spans="1:5" x14ac:dyDescent="0.25">
      <c r="A998" t="s">
        <v>225</v>
      </c>
      <c r="B998" t="s">
        <v>16</v>
      </c>
      <c r="C998" t="s">
        <v>18</v>
      </c>
      <c r="D998" t="s">
        <v>49</v>
      </c>
      <c r="E998">
        <v>15339.75</v>
      </c>
    </row>
    <row r="999" spans="1:5" x14ac:dyDescent="0.25">
      <c r="A999" t="s">
        <v>225</v>
      </c>
      <c r="B999" t="s">
        <v>16</v>
      </c>
      <c r="C999" t="s">
        <v>5</v>
      </c>
      <c r="D999" t="s">
        <v>49</v>
      </c>
      <c r="E999">
        <v>105220.75</v>
      </c>
    </row>
    <row r="1000" spans="1:5" x14ac:dyDescent="0.25">
      <c r="A1000" t="s">
        <v>225</v>
      </c>
      <c r="B1000" t="s">
        <v>16</v>
      </c>
      <c r="C1000" t="s">
        <v>4</v>
      </c>
      <c r="D1000" t="s">
        <v>228</v>
      </c>
      <c r="E1000">
        <v>94565.333329999994</v>
      </c>
    </row>
    <row r="1001" spans="1:5" x14ac:dyDescent="0.25">
      <c r="A1001" t="s">
        <v>225</v>
      </c>
      <c r="B1001" t="s">
        <v>16</v>
      </c>
      <c r="C1001" t="s">
        <v>4</v>
      </c>
      <c r="D1001" t="s">
        <v>229</v>
      </c>
      <c r="E1001">
        <v>123148.0833</v>
      </c>
    </row>
    <row r="1002" spans="1:5" x14ac:dyDescent="0.25">
      <c r="A1002" t="s">
        <v>225</v>
      </c>
      <c r="B1002" t="s">
        <v>16</v>
      </c>
      <c r="C1002" t="s">
        <v>18</v>
      </c>
      <c r="D1002" t="s">
        <v>229</v>
      </c>
      <c r="E1002">
        <v>11640.083329999999</v>
      </c>
    </row>
    <row r="1003" spans="1:5" x14ac:dyDescent="0.25">
      <c r="A1003" t="s">
        <v>225</v>
      </c>
      <c r="B1003" t="s">
        <v>16</v>
      </c>
      <c r="C1003" t="s">
        <v>5</v>
      </c>
      <c r="D1003" t="s">
        <v>229</v>
      </c>
      <c r="E1003">
        <v>71780.916670000006</v>
      </c>
    </row>
    <row r="1004" spans="1:5" x14ac:dyDescent="0.25">
      <c r="A1004" t="s">
        <v>225</v>
      </c>
      <c r="B1004" t="s">
        <v>16</v>
      </c>
      <c r="C1004" t="s">
        <v>4</v>
      </c>
      <c r="D1004" t="s">
        <v>50</v>
      </c>
      <c r="E1004">
        <v>1318.5</v>
      </c>
    </row>
    <row r="1005" spans="1:5" x14ac:dyDescent="0.25">
      <c r="A1005" t="s">
        <v>225</v>
      </c>
      <c r="B1005" t="s">
        <v>16</v>
      </c>
      <c r="C1005" t="s">
        <v>18</v>
      </c>
      <c r="D1005" t="s">
        <v>50</v>
      </c>
      <c r="E1005">
        <v>14158.083329999999</v>
      </c>
    </row>
    <row r="1006" spans="1:5" x14ac:dyDescent="0.25">
      <c r="A1006" t="s">
        <v>225</v>
      </c>
      <c r="B1006" t="s">
        <v>16</v>
      </c>
      <c r="C1006" t="s">
        <v>5</v>
      </c>
      <c r="D1006" t="s">
        <v>50</v>
      </c>
      <c r="E1006">
        <v>28947.166669999999</v>
      </c>
    </row>
    <row r="1007" spans="1:5" x14ac:dyDescent="0.25">
      <c r="A1007" t="s">
        <v>225</v>
      </c>
      <c r="B1007" t="s">
        <v>16</v>
      </c>
      <c r="C1007" t="s">
        <v>18</v>
      </c>
      <c r="D1007" t="s">
        <v>59</v>
      </c>
      <c r="E1007" t="s">
        <v>230</v>
      </c>
    </row>
    <row r="1008" spans="1:5" x14ac:dyDescent="0.25">
      <c r="A1008" t="s">
        <v>225</v>
      </c>
      <c r="B1008" t="s">
        <v>16</v>
      </c>
      <c r="C1008" t="s">
        <v>4</v>
      </c>
      <c r="D1008" t="s">
        <v>59</v>
      </c>
      <c r="E1008" t="s">
        <v>235</v>
      </c>
    </row>
    <row r="1009" spans="1:5" x14ac:dyDescent="0.25">
      <c r="A1009" t="s">
        <v>225</v>
      </c>
      <c r="B1009" t="s">
        <v>16</v>
      </c>
      <c r="C1009" t="s">
        <v>5</v>
      </c>
      <c r="D1009" t="s">
        <v>59</v>
      </c>
      <c r="E1009" t="s">
        <v>241</v>
      </c>
    </row>
    <row r="1010" spans="1:5" x14ac:dyDescent="0.25">
      <c r="A1010" t="s">
        <v>225</v>
      </c>
      <c r="B1010" t="s">
        <v>16</v>
      </c>
      <c r="C1010" t="s">
        <v>18</v>
      </c>
      <c r="D1010" t="s">
        <v>63</v>
      </c>
      <c r="E1010" t="s">
        <v>231</v>
      </c>
    </row>
    <row r="1011" spans="1:5" x14ac:dyDescent="0.25">
      <c r="A1011" t="s">
        <v>225</v>
      </c>
      <c r="B1011" t="s">
        <v>16</v>
      </c>
      <c r="C1011" t="s">
        <v>4</v>
      </c>
      <c r="D1011" t="s">
        <v>63</v>
      </c>
      <c r="E1011" t="s">
        <v>236</v>
      </c>
    </row>
    <row r="1012" spans="1:5" x14ac:dyDescent="0.25">
      <c r="A1012" t="s">
        <v>225</v>
      </c>
      <c r="B1012" t="s">
        <v>16</v>
      </c>
      <c r="C1012" t="s">
        <v>5</v>
      </c>
      <c r="D1012" t="s">
        <v>63</v>
      </c>
      <c r="E1012" t="s">
        <v>242</v>
      </c>
    </row>
    <row r="1013" spans="1:5" x14ac:dyDescent="0.25">
      <c r="A1013" t="s">
        <v>225</v>
      </c>
      <c r="B1013" t="s">
        <v>16</v>
      </c>
      <c r="C1013" t="s">
        <v>18</v>
      </c>
      <c r="D1013" t="s">
        <v>67</v>
      </c>
      <c r="E1013" t="s">
        <v>232</v>
      </c>
    </row>
    <row r="1014" spans="1:5" x14ac:dyDescent="0.25">
      <c r="A1014" t="s">
        <v>225</v>
      </c>
      <c r="B1014" t="s">
        <v>16</v>
      </c>
      <c r="C1014" t="s">
        <v>4</v>
      </c>
      <c r="D1014" t="s">
        <v>67</v>
      </c>
      <c r="E1014" t="s">
        <v>237</v>
      </c>
    </row>
    <row r="1015" spans="1:5" x14ac:dyDescent="0.25">
      <c r="A1015" t="s">
        <v>225</v>
      </c>
      <c r="B1015" t="s">
        <v>16</v>
      </c>
      <c r="C1015" t="s">
        <v>5</v>
      </c>
      <c r="D1015" t="s">
        <v>67</v>
      </c>
      <c r="E1015" t="s">
        <v>243</v>
      </c>
    </row>
    <row r="1016" spans="1:5" x14ac:dyDescent="0.25">
      <c r="A1016" t="s">
        <v>225</v>
      </c>
      <c r="B1016" t="s">
        <v>16</v>
      </c>
      <c r="C1016" t="s">
        <v>18</v>
      </c>
      <c r="D1016" t="s">
        <v>233</v>
      </c>
      <c r="E1016" t="s">
        <v>234</v>
      </c>
    </row>
    <row r="1017" spans="1:5" x14ac:dyDescent="0.25">
      <c r="A1017" t="s">
        <v>225</v>
      </c>
      <c r="B1017" t="s">
        <v>16</v>
      </c>
      <c r="C1017" t="s">
        <v>4</v>
      </c>
      <c r="D1017" t="s">
        <v>233</v>
      </c>
      <c r="E1017" t="s">
        <v>238</v>
      </c>
    </row>
    <row r="1018" spans="1:5" x14ac:dyDescent="0.25">
      <c r="A1018" t="s">
        <v>225</v>
      </c>
      <c r="B1018" t="s">
        <v>16</v>
      </c>
      <c r="C1018" t="s">
        <v>5</v>
      </c>
      <c r="D1018" t="s">
        <v>233</v>
      </c>
      <c r="E1018" t="s">
        <v>244</v>
      </c>
    </row>
    <row r="1019" spans="1:5" x14ac:dyDescent="0.25">
      <c r="A1019" t="s">
        <v>225</v>
      </c>
      <c r="B1019" t="s">
        <v>16</v>
      </c>
      <c r="C1019" t="s">
        <v>4</v>
      </c>
      <c r="D1019" t="s">
        <v>239</v>
      </c>
      <c r="E1019" t="s">
        <v>240</v>
      </c>
    </row>
    <row r="1020" spans="1:5" x14ac:dyDescent="0.25">
      <c r="A1020" t="s">
        <v>225</v>
      </c>
      <c r="B1020" t="s">
        <v>16</v>
      </c>
      <c r="C1020" t="s">
        <v>5</v>
      </c>
      <c r="D1020" t="s">
        <v>239</v>
      </c>
      <c r="E1020" t="s">
        <v>245</v>
      </c>
    </row>
    <row r="1021" spans="1:5" x14ac:dyDescent="0.25">
      <c r="A1021" t="s">
        <v>225</v>
      </c>
      <c r="B1021" t="s">
        <v>16</v>
      </c>
      <c r="C1021" t="s">
        <v>4</v>
      </c>
      <c r="D1021" t="s">
        <v>6</v>
      </c>
      <c r="E1021">
        <v>10166</v>
      </c>
    </row>
    <row r="1022" spans="1:5" x14ac:dyDescent="0.25">
      <c r="A1022" t="s">
        <v>225</v>
      </c>
      <c r="B1022" t="s">
        <v>16</v>
      </c>
      <c r="C1022" t="s">
        <v>18</v>
      </c>
      <c r="D1022" t="s">
        <v>6</v>
      </c>
      <c r="E1022">
        <v>365</v>
      </c>
    </row>
    <row r="1023" spans="1:5" x14ac:dyDescent="0.25">
      <c r="A1023" t="s">
        <v>225</v>
      </c>
      <c r="B1023" t="s">
        <v>16</v>
      </c>
      <c r="C1023" t="s">
        <v>5</v>
      </c>
      <c r="D1023" t="s">
        <v>6</v>
      </c>
      <c r="E1023">
        <v>2777</v>
      </c>
    </row>
    <row r="1024" spans="1:5" x14ac:dyDescent="0.25">
      <c r="A1024" t="s">
        <v>225</v>
      </c>
      <c r="B1024" t="s">
        <v>16</v>
      </c>
      <c r="C1024" t="s">
        <v>4</v>
      </c>
      <c r="D1024" t="s">
        <v>17</v>
      </c>
      <c r="E1024">
        <v>441</v>
      </c>
    </row>
    <row r="1025" spans="1:5" x14ac:dyDescent="0.25">
      <c r="A1025" t="s">
        <v>225</v>
      </c>
      <c r="B1025" t="s">
        <v>16</v>
      </c>
      <c r="C1025" t="s">
        <v>18</v>
      </c>
      <c r="D1025" t="s">
        <v>17</v>
      </c>
      <c r="E1025">
        <v>0</v>
      </c>
    </row>
    <row r="1026" spans="1:5" x14ac:dyDescent="0.25">
      <c r="A1026" t="s">
        <v>225</v>
      </c>
      <c r="B1026" t="s">
        <v>16</v>
      </c>
      <c r="C1026" t="s">
        <v>5</v>
      </c>
      <c r="D1026" t="s">
        <v>17</v>
      </c>
      <c r="E1026">
        <v>4</v>
      </c>
    </row>
    <row r="1027" spans="1:5" x14ac:dyDescent="0.25">
      <c r="A1027" t="s">
        <v>225</v>
      </c>
      <c r="B1027" t="s">
        <v>16</v>
      </c>
      <c r="C1027" t="s">
        <v>4</v>
      </c>
      <c r="D1027" t="s">
        <v>29</v>
      </c>
      <c r="E1027" t="s">
        <v>246</v>
      </c>
    </row>
    <row r="1028" spans="1:5" x14ac:dyDescent="0.25">
      <c r="A1028" t="s">
        <v>225</v>
      </c>
      <c r="B1028" t="s">
        <v>16</v>
      </c>
      <c r="C1028" t="s">
        <v>4</v>
      </c>
      <c r="D1028" t="s">
        <v>31</v>
      </c>
      <c r="E1028" t="s">
        <v>247</v>
      </c>
    </row>
    <row r="1029" spans="1:5" x14ac:dyDescent="0.25">
      <c r="A1029" t="s">
        <v>225</v>
      </c>
      <c r="B1029" t="s">
        <v>16</v>
      </c>
      <c r="C1029" t="s">
        <v>5</v>
      </c>
      <c r="D1029" t="s">
        <v>31</v>
      </c>
      <c r="E1029" t="s">
        <v>248</v>
      </c>
    </row>
    <row r="1030" spans="1:5" x14ac:dyDescent="0.25">
      <c r="A1030" t="s">
        <v>225</v>
      </c>
      <c r="B1030" t="s">
        <v>16</v>
      </c>
      <c r="C1030" t="s">
        <v>4</v>
      </c>
      <c r="D1030" t="s">
        <v>249</v>
      </c>
      <c r="E1030" t="s">
        <v>250</v>
      </c>
    </row>
    <row r="1031" spans="1:5" x14ac:dyDescent="0.25">
      <c r="A1031" t="s">
        <v>225</v>
      </c>
      <c r="B1031" t="s">
        <v>16</v>
      </c>
      <c r="C1031" t="s">
        <v>4</v>
      </c>
      <c r="D1031" t="s">
        <v>34</v>
      </c>
      <c r="E1031" t="s">
        <v>251</v>
      </c>
    </row>
    <row r="1032" spans="1:5" x14ac:dyDescent="0.25">
      <c r="A1032" t="s">
        <v>225</v>
      </c>
      <c r="B1032" t="s">
        <v>16</v>
      </c>
      <c r="C1032" t="s">
        <v>18</v>
      </c>
      <c r="D1032" t="s">
        <v>34</v>
      </c>
      <c r="E1032" t="s">
        <v>252</v>
      </c>
    </row>
    <row r="1033" spans="1:5" x14ac:dyDescent="0.25">
      <c r="A1033" t="s">
        <v>225</v>
      </c>
      <c r="B1033" t="s">
        <v>16</v>
      </c>
      <c r="C1033" t="s">
        <v>5</v>
      </c>
      <c r="D1033" t="s">
        <v>34</v>
      </c>
      <c r="E1033" t="s">
        <v>205</v>
      </c>
    </row>
    <row r="1034" spans="1:5" x14ac:dyDescent="0.25">
      <c r="A1034" t="s">
        <v>225</v>
      </c>
      <c r="B1034" t="s">
        <v>16</v>
      </c>
      <c r="C1034" t="s">
        <v>4</v>
      </c>
      <c r="D1034" t="s">
        <v>38</v>
      </c>
      <c r="E1034" t="s">
        <v>253</v>
      </c>
    </row>
    <row r="1035" spans="1:5" x14ac:dyDescent="0.25">
      <c r="A1035" t="s">
        <v>225</v>
      </c>
      <c r="B1035" t="s">
        <v>16</v>
      </c>
      <c r="C1035" t="s">
        <v>18</v>
      </c>
      <c r="D1035" t="s">
        <v>38</v>
      </c>
      <c r="E1035" t="s">
        <v>254</v>
      </c>
    </row>
    <row r="1036" spans="1:5" x14ac:dyDescent="0.25">
      <c r="A1036" t="s">
        <v>225</v>
      </c>
      <c r="B1036" t="s">
        <v>16</v>
      </c>
      <c r="C1036" t="s">
        <v>5</v>
      </c>
      <c r="D1036" t="s">
        <v>38</v>
      </c>
      <c r="E1036" t="s">
        <v>255</v>
      </c>
    </row>
    <row r="1037" spans="1:5" x14ac:dyDescent="0.25">
      <c r="A1037" t="s">
        <v>225</v>
      </c>
      <c r="B1037" t="s">
        <v>16</v>
      </c>
      <c r="C1037" t="s">
        <v>4</v>
      </c>
      <c r="D1037" t="s">
        <v>20</v>
      </c>
      <c r="E1037">
        <v>7514</v>
      </c>
    </row>
    <row r="1038" spans="1:5" x14ac:dyDescent="0.25">
      <c r="A1038" t="s">
        <v>225</v>
      </c>
      <c r="B1038" t="s">
        <v>16</v>
      </c>
      <c r="C1038" t="s">
        <v>18</v>
      </c>
      <c r="D1038" t="s">
        <v>20</v>
      </c>
      <c r="E1038">
        <v>819</v>
      </c>
    </row>
    <row r="1039" spans="1:5" x14ac:dyDescent="0.25">
      <c r="A1039" t="s">
        <v>225</v>
      </c>
      <c r="B1039" t="s">
        <v>16</v>
      </c>
      <c r="C1039" t="s">
        <v>5</v>
      </c>
      <c r="D1039" t="s">
        <v>20</v>
      </c>
      <c r="E1039">
        <v>2650</v>
      </c>
    </row>
    <row r="1040" spans="1:5" x14ac:dyDescent="0.25">
      <c r="A1040" t="s">
        <v>225</v>
      </c>
      <c r="B1040" t="s">
        <v>16</v>
      </c>
      <c r="C1040" t="s">
        <v>4</v>
      </c>
      <c r="D1040" t="s">
        <v>42</v>
      </c>
      <c r="E1040">
        <v>231</v>
      </c>
    </row>
    <row r="1041" spans="1:5" x14ac:dyDescent="0.25">
      <c r="A1041" t="s">
        <v>225</v>
      </c>
      <c r="B1041" t="s">
        <v>16</v>
      </c>
      <c r="C1041" t="s">
        <v>4</v>
      </c>
      <c r="D1041" t="s">
        <v>43</v>
      </c>
      <c r="E1041">
        <v>2974</v>
      </c>
    </row>
    <row r="1042" spans="1:5" x14ac:dyDescent="0.25">
      <c r="A1042" t="s">
        <v>225</v>
      </c>
      <c r="B1042" t="s">
        <v>16</v>
      </c>
      <c r="C1042" t="s">
        <v>5</v>
      </c>
      <c r="D1042" t="s">
        <v>43</v>
      </c>
      <c r="E1042">
        <v>777</v>
      </c>
    </row>
    <row r="1043" spans="1:5" x14ac:dyDescent="0.25">
      <c r="A1043" t="s">
        <v>225</v>
      </c>
      <c r="B1043" t="s">
        <v>16</v>
      </c>
      <c r="C1043" t="s">
        <v>4</v>
      </c>
      <c r="D1043" t="s">
        <v>44</v>
      </c>
      <c r="E1043">
        <v>4309</v>
      </c>
    </row>
    <row r="1044" spans="1:5" x14ac:dyDescent="0.25">
      <c r="A1044" t="s">
        <v>225</v>
      </c>
      <c r="B1044" t="s">
        <v>16</v>
      </c>
      <c r="C1044" t="s">
        <v>18</v>
      </c>
      <c r="D1044" t="s">
        <v>44</v>
      </c>
      <c r="E1044">
        <v>819</v>
      </c>
    </row>
    <row r="1045" spans="1:5" x14ac:dyDescent="0.25">
      <c r="A1045" t="s">
        <v>225</v>
      </c>
      <c r="B1045" t="s">
        <v>16</v>
      </c>
      <c r="C1045" t="s">
        <v>5</v>
      </c>
      <c r="D1045" t="s">
        <v>44</v>
      </c>
      <c r="E1045">
        <v>1873</v>
      </c>
    </row>
    <row r="1046" spans="1:5" x14ac:dyDescent="0.25">
      <c r="A1046" t="s">
        <v>225</v>
      </c>
      <c r="B1046" t="s">
        <v>16</v>
      </c>
      <c r="C1046" t="s">
        <v>4</v>
      </c>
      <c r="D1046" t="s">
        <v>21</v>
      </c>
      <c r="E1046">
        <v>0.94391829199999999</v>
      </c>
    </row>
    <row r="1047" spans="1:5" x14ac:dyDescent="0.25">
      <c r="A1047" t="s">
        <v>225</v>
      </c>
      <c r="B1047" t="s">
        <v>16</v>
      </c>
      <c r="C1047" t="s">
        <v>18</v>
      </c>
      <c r="D1047" t="s">
        <v>21</v>
      </c>
      <c r="E1047">
        <v>0.46854942199999999</v>
      </c>
    </row>
    <row r="1048" spans="1:5" x14ac:dyDescent="0.25">
      <c r="A1048" t="s">
        <v>225</v>
      </c>
      <c r="B1048" t="s">
        <v>16</v>
      </c>
      <c r="C1048" t="s">
        <v>5</v>
      </c>
      <c r="D1048" t="s">
        <v>21</v>
      </c>
      <c r="E1048">
        <v>0.95135320300000004</v>
      </c>
    </row>
    <row r="1049" spans="1:5" x14ac:dyDescent="0.25">
      <c r="A1049" t="s">
        <v>225</v>
      </c>
      <c r="B1049" t="s">
        <v>16</v>
      </c>
      <c r="C1049" t="s">
        <v>4</v>
      </c>
      <c r="D1049" t="s">
        <v>22</v>
      </c>
      <c r="E1049">
        <v>0.19610027899999999</v>
      </c>
    </row>
    <row r="1050" spans="1:5" x14ac:dyDescent="0.25">
      <c r="A1050" t="s">
        <v>225</v>
      </c>
      <c r="B1050" t="s">
        <v>16</v>
      </c>
      <c r="C1050" t="s">
        <v>18</v>
      </c>
      <c r="D1050" t="s">
        <v>22</v>
      </c>
      <c r="E1050">
        <v>0.27342747099999998</v>
      </c>
    </row>
    <row r="1051" spans="1:5" x14ac:dyDescent="0.25">
      <c r="A1051" t="s">
        <v>225</v>
      </c>
      <c r="B1051" t="s">
        <v>16</v>
      </c>
      <c r="C1051" t="s">
        <v>5</v>
      </c>
      <c r="D1051" t="s">
        <v>22</v>
      </c>
      <c r="E1051">
        <v>0.136690647</v>
      </c>
    </row>
    <row r="1052" spans="1:5" x14ac:dyDescent="0.25">
      <c r="A1052" t="s">
        <v>225</v>
      </c>
      <c r="B1052" t="s">
        <v>16</v>
      </c>
      <c r="C1052" t="s">
        <v>4</v>
      </c>
      <c r="D1052" t="s">
        <v>23</v>
      </c>
      <c r="E1052">
        <v>0.14122562699999999</v>
      </c>
    </row>
    <row r="1053" spans="1:5" x14ac:dyDescent="0.25">
      <c r="A1053" t="s">
        <v>225</v>
      </c>
      <c r="B1053" t="s">
        <v>16</v>
      </c>
      <c r="C1053" t="s">
        <v>18</v>
      </c>
      <c r="D1053" t="s">
        <v>23</v>
      </c>
      <c r="E1053">
        <v>0.228498074</v>
      </c>
    </row>
    <row r="1054" spans="1:5" x14ac:dyDescent="0.25">
      <c r="A1054" t="s">
        <v>225</v>
      </c>
      <c r="B1054" t="s">
        <v>16</v>
      </c>
      <c r="C1054" t="s">
        <v>5</v>
      </c>
      <c r="D1054" t="s">
        <v>23</v>
      </c>
      <c r="E1054">
        <v>0.15930113100000001</v>
      </c>
    </row>
    <row r="1055" spans="1:5" x14ac:dyDescent="0.25">
      <c r="A1055" t="s">
        <v>225</v>
      </c>
      <c r="B1055" t="s">
        <v>16</v>
      </c>
      <c r="C1055" t="s">
        <v>4</v>
      </c>
      <c r="D1055" t="s">
        <v>621</v>
      </c>
      <c r="E1055">
        <v>0.66267409499999996</v>
      </c>
    </row>
    <row r="1056" spans="1:5" x14ac:dyDescent="0.25">
      <c r="A1056" t="s">
        <v>225</v>
      </c>
      <c r="B1056" t="s">
        <v>16</v>
      </c>
      <c r="C1056" t="s">
        <v>18</v>
      </c>
      <c r="D1056" t="s">
        <v>621</v>
      </c>
      <c r="E1056">
        <v>0.498074454</v>
      </c>
    </row>
    <row r="1057" spans="1:5" x14ac:dyDescent="0.25">
      <c r="A1057" t="s">
        <v>225</v>
      </c>
      <c r="B1057" t="s">
        <v>16</v>
      </c>
      <c r="C1057" t="s">
        <v>5</v>
      </c>
      <c r="D1057" t="s">
        <v>621</v>
      </c>
      <c r="E1057">
        <v>0.70400822200000002</v>
      </c>
    </row>
    <row r="1058" spans="1:5" x14ac:dyDescent="0.25">
      <c r="A1058" t="s">
        <v>225</v>
      </c>
      <c r="B1058" t="s">
        <v>16</v>
      </c>
      <c r="C1058" t="s">
        <v>5</v>
      </c>
      <c r="D1058" t="s">
        <v>256</v>
      </c>
      <c r="E1058" t="s">
        <v>257</v>
      </c>
    </row>
    <row r="1059" spans="1:5" x14ac:dyDescent="0.25">
      <c r="A1059" t="s">
        <v>225</v>
      </c>
      <c r="B1059" t="s">
        <v>16</v>
      </c>
      <c r="C1059" t="s">
        <v>4</v>
      </c>
      <c r="D1059" t="s">
        <v>24</v>
      </c>
      <c r="E1059">
        <v>318.89999999999998</v>
      </c>
    </row>
    <row r="1060" spans="1:5" x14ac:dyDescent="0.25">
      <c r="A1060" t="s">
        <v>225</v>
      </c>
      <c r="B1060" t="s">
        <v>16</v>
      </c>
      <c r="C1060" t="s">
        <v>18</v>
      </c>
      <c r="D1060" t="s">
        <v>24</v>
      </c>
      <c r="E1060">
        <v>77.81</v>
      </c>
    </row>
    <row r="1061" spans="1:5" x14ac:dyDescent="0.25">
      <c r="A1061" t="s">
        <v>225</v>
      </c>
      <c r="B1061" t="s">
        <v>16</v>
      </c>
      <c r="C1061" t="s">
        <v>5</v>
      </c>
      <c r="D1061" t="s">
        <v>24</v>
      </c>
      <c r="E1061">
        <v>222.35</v>
      </c>
    </row>
    <row r="1062" spans="1:5" x14ac:dyDescent="0.25">
      <c r="A1062" t="s">
        <v>225</v>
      </c>
      <c r="B1062" t="s">
        <v>16</v>
      </c>
      <c r="C1062" t="s">
        <v>19</v>
      </c>
      <c r="D1062" t="s">
        <v>45</v>
      </c>
      <c r="E1062">
        <v>2162971</v>
      </c>
    </row>
    <row r="1063" spans="1:5" x14ac:dyDescent="0.25">
      <c r="A1063" t="s">
        <v>225</v>
      </c>
      <c r="B1063" t="s">
        <v>16</v>
      </c>
      <c r="C1063" t="s">
        <v>19</v>
      </c>
      <c r="D1063" t="s">
        <v>46</v>
      </c>
      <c r="E1063">
        <v>39832</v>
      </c>
    </row>
    <row r="1064" spans="1:5" x14ac:dyDescent="0.25">
      <c r="A1064" t="s">
        <v>258</v>
      </c>
      <c r="B1064" t="s">
        <v>16</v>
      </c>
      <c r="C1064" t="s">
        <v>4</v>
      </c>
      <c r="D1064" t="s">
        <v>226</v>
      </c>
      <c r="E1064">
        <v>503469.33333333291</v>
      </c>
    </row>
    <row r="1065" spans="1:5" x14ac:dyDescent="0.25">
      <c r="A1065" t="s">
        <v>258</v>
      </c>
      <c r="B1065" t="s">
        <v>16</v>
      </c>
      <c r="C1065" t="s">
        <v>18</v>
      </c>
      <c r="D1065" t="s">
        <v>226</v>
      </c>
      <c r="E1065">
        <v>35377.5</v>
      </c>
    </row>
    <row r="1066" spans="1:5" x14ac:dyDescent="0.25">
      <c r="A1066" t="s">
        <v>258</v>
      </c>
      <c r="B1066" t="s">
        <v>16</v>
      </c>
      <c r="C1066" t="s">
        <v>5</v>
      </c>
      <c r="D1066" t="s">
        <v>226</v>
      </c>
      <c r="E1066">
        <v>378468.3333333332</v>
      </c>
    </row>
    <row r="1067" spans="1:5" x14ac:dyDescent="0.25">
      <c r="A1067" t="s">
        <v>258</v>
      </c>
      <c r="B1067" t="s">
        <v>16</v>
      </c>
      <c r="C1067" t="s">
        <v>4</v>
      </c>
      <c r="D1067" t="s">
        <v>48</v>
      </c>
      <c r="E1067">
        <v>92991.833333333387</v>
      </c>
    </row>
    <row r="1068" spans="1:5" x14ac:dyDescent="0.25">
      <c r="A1068" t="s">
        <v>258</v>
      </c>
      <c r="B1068" t="s">
        <v>16</v>
      </c>
      <c r="C1068" t="s">
        <v>5</v>
      </c>
      <c r="D1068" t="s">
        <v>48</v>
      </c>
      <c r="E1068">
        <v>43312.08333333335</v>
      </c>
    </row>
    <row r="1069" spans="1:5" x14ac:dyDescent="0.25">
      <c r="A1069" t="s">
        <v>258</v>
      </c>
      <c r="B1069" t="s">
        <v>16</v>
      </c>
      <c r="C1069" t="s">
        <v>4</v>
      </c>
      <c r="D1069" t="s">
        <v>227</v>
      </c>
      <c r="E1069">
        <v>112314.66666666669</v>
      </c>
    </row>
    <row r="1070" spans="1:5" x14ac:dyDescent="0.25">
      <c r="A1070" t="s">
        <v>258</v>
      </c>
      <c r="B1070" t="s">
        <v>16</v>
      </c>
      <c r="C1070" t="s">
        <v>18</v>
      </c>
      <c r="D1070" t="s">
        <v>227</v>
      </c>
      <c r="E1070">
        <v>16588.999999999989</v>
      </c>
    </row>
    <row r="1071" spans="1:5" x14ac:dyDescent="0.25">
      <c r="A1071" t="s">
        <v>258</v>
      </c>
      <c r="B1071" t="s">
        <v>16</v>
      </c>
      <c r="C1071" t="s">
        <v>5</v>
      </c>
      <c r="D1071" t="s">
        <v>227</v>
      </c>
      <c r="E1071">
        <v>47378.666666666664</v>
      </c>
    </row>
    <row r="1072" spans="1:5" x14ac:dyDescent="0.25">
      <c r="A1072" t="s">
        <v>258</v>
      </c>
      <c r="B1072" t="s">
        <v>16</v>
      </c>
      <c r="C1072" t="s">
        <v>4</v>
      </c>
      <c r="D1072" t="s">
        <v>49</v>
      </c>
      <c r="E1072">
        <v>183495.08333333352</v>
      </c>
    </row>
    <row r="1073" spans="1:5" x14ac:dyDescent="0.25">
      <c r="A1073" t="s">
        <v>258</v>
      </c>
      <c r="B1073" t="s">
        <v>16</v>
      </c>
      <c r="C1073" t="s">
        <v>18</v>
      </c>
      <c r="D1073" t="s">
        <v>49</v>
      </c>
      <c r="E1073">
        <v>14390.25</v>
      </c>
    </row>
    <row r="1074" spans="1:5" x14ac:dyDescent="0.25">
      <c r="A1074" t="s">
        <v>258</v>
      </c>
      <c r="B1074" t="s">
        <v>16</v>
      </c>
      <c r="C1074" t="s">
        <v>5</v>
      </c>
      <c r="D1074" t="s">
        <v>49</v>
      </c>
      <c r="E1074">
        <v>92264.750000000058</v>
      </c>
    </row>
    <row r="1075" spans="1:5" x14ac:dyDescent="0.25">
      <c r="A1075" t="s">
        <v>258</v>
      </c>
      <c r="B1075" t="s">
        <v>16</v>
      </c>
      <c r="C1075" t="s">
        <v>4</v>
      </c>
      <c r="D1075" t="s">
        <v>228</v>
      </c>
      <c r="E1075">
        <v>90935.166666666759</v>
      </c>
    </row>
    <row r="1076" spans="1:5" x14ac:dyDescent="0.25">
      <c r="A1076" t="s">
        <v>258</v>
      </c>
      <c r="B1076" t="s">
        <v>16</v>
      </c>
      <c r="C1076" t="s">
        <v>4</v>
      </c>
      <c r="D1076" t="s">
        <v>229</v>
      </c>
      <c r="E1076">
        <v>116285.4166666668</v>
      </c>
    </row>
    <row r="1077" spans="1:5" x14ac:dyDescent="0.25">
      <c r="A1077" t="s">
        <v>258</v>
      </c>
      <c r="B1077" t="s">
        <v>16</v>
      </c>
      <c r="C1077" t="s">
        <v>18</v>
      </c>
      <c r="D1077" t="s">
        <v>229</v>
      </c>
      <c r="E1077">
        <v>12396.083333333334</v>
      </c>
    </row>
    <row r="1078" spans="1:5" x14ac:dyDescent="0.25">
      <c r="A1078" t="s">
        <v>258</v>
      </c>
      <c r="B1078" t="s">
        <v>16</v>
      </c>
      <c r="C1078" t="s">
        <v>5</v>
      </c>
      <c r="D1078" t="s">
        <v>229</v>
      </c>
      <c r="E1078">
        <v>66729.249999999985</v>
      </c>
    </row>
    <row r="1079" spans="1:5" x14ac:dyDescent="0.25">
      <c r="A1079" t="s">
        <v>258</v>
      </c>
      <c r="B1079" t="s">
        <v>16</v>
      </c>
      <c r="C1079" t="s">
        <v>4</v>
      </c>
      <c r="D1079" t="s">
        <v>50</v>
      </c>
      <c r="E1079">
        <v>414.58333333333326</v>
      </c>
    </row>
    <row r="1080" spans="1:5" x14ac:dyDescent="0.25">
      <c r="A1080" t="s">
        <v>258</v>
      </c>
      <c r="B1080" t="s">
        <v>16</v>
      </c>
      <c r="C1080" t="s">
        <v>18</v>
      </c>
      <c r="D1080" t="s">
        <v>50</v>
      </c>
      <c r="E1080">
        <v>13619.666666666664</v>
      </c>
    </row>
    <row r="1081" spans="1:5" x14ac:dyDescent="0.25">
      <c r="A1081" t="s">
        <v>258</v>
      </c>
      <c r="B1081" t="s">
        <v>16</v>
      </c>
      <c r="C1081" t="s">
        <v>5</v>
      </c>
      <c r="D1081" t="s">
        <v>50</v>
      </c>
      <c r="E1081">
        <v>31597.583333333332</v>
      </c>
    </row>
    <row r="1082" spans="1:5" x14ac:dyDescent="0.25">
      <c r="A1082" t="s">
        <v>258</v>
      </c>
      <c r="B1082" t="s">
        <v>16</v>
      </c>
      <c r="C1082" t="s">
        <v>18</v>
      </c>
      <c r="D1082" t="s">
        <v>59</v>
      </c>
      <c r="E1082" t="s">
        <v>259</v>
      </c>
    </row>
    <row r="1083" spans="1:5" x14ac:dyDescent="0.25">
      <c r="A1083" t="s">
        <v>258</v>
      </c>
      <c r="B1083" t="s">
        <v>16</v>
      </c>
      <c r="C1083" t="s">
        <v>4</v>
      </c>
      <c r="D1083" t="s">
        <v>59</v>
      </c>
      <c r="E1083" t="s">
        <v>263</v>
      </c>
    </row>
    <row r="1084" spans="1:5" x14ac:dyDescent="0.25">
      <c r="A1084" t="s">
        <v>258</v>
      </c>
      <c r="B1084" t="s">
        <v>16</v>
      </c>
      <c r="C1084" t="s">
        <v>5</v>
      </c>
      <c r="D1084" t="s">
        <v>59</v>
      </c>
      <c r="E1084" t="s">
        <v>268</v>
      </c>
    </row>
    <row r="1085" spans="1:5" x14ac:dyDescent="0.25">
      <c r="A1085" t="s">
        <v>258</v>
      </c>
      <c r="B1085" t="s">
        <v>16</v>
      </c>
      <c r="C1085" t="s">
        <v>18</v>
      </c>
      <c r="D1085" t="s">
        <v>63</v>
      </c>
      <c r="E1085" t="s">
        <v>260</v>
      </c>
    </row>
    <row r="1086" spans="1:5" x14ac:dyDescent="0.25">
      <c r="A1086" t="s">
        <v>258</v>
      </c>
      <c r="B1086" t="s">
        <v>16</v>
      </c>
      <c r="C1086" t="s">
        <v>4</v>
      </c>
      <c r="D1086" t="s">
        <v>63</v>
      </c>
      <c r="E1086" t="s">
        <v>264</v>
      </c>
    </row>
    <row r="1087" spans="1:5" x14ac:dyDescent="0.25">
      <c r="A1087" t="s">
        <v>258</v>
      </c>
      <c r="B1087" t="s">
        <v>16</v>
      </c>
      <c r="C1087" t="s">
        <v>5</v>
      </c>
      <c r="D1087" t="s">
        <v>63</v>
      </c>
      <c r="E1087" t="s">
        <v>269</v>
      </c>
    </row>
    <row r="1088" spans="1:5" x14ac:dyDescent="0.25">
      <c r="A1088" t="s">
        <v>258</v>
      </c>
      <c r="B1088" t="s">
        <v>16</v>
      </c>
      <c r="C1088" t="s">
        <v>18</v>
      </c>
      <c r="D1088" t="s">
        <v>67</v>
      </c>
      <c r="E1088" t="s">
        <v>261</v>
      </c>
    </row>
    <row r="1089" spans="1:5" x14ac:dyDescent="0.25">
      <c r="A1089" t="s">
        <v>258</v>
      </c>
      <c r="B1089" t="s">
        <v>16</v>
      </c>
      <c r="C1089" t="s">
        <v>4</v>
      </c>
      <c r="D1089" t="s">
        <v>67</v>
      </c>
      <c r="E1089" t="s">
        <v>265</v>
      </c>
    </row>
    <row r="1090" spans="1:5" x14ac:dyDescent="0.25">
      <c r="A1090" t="s">
        <v>258</v>
      </c>
      <c r="B1090" t="s">
        <v>16</v>
      </c>
      <c r="C1090" t="s">
        <v>5</v>
      </c>
      <c r="D1090" t="s">
        <v>67</v>
      </c>
      <c r="E1090" t="s">
        <v>270</v>
      </c>
    </row>
    <row r="1091" spans="1:5" x14ac:dyDescent="0.25">
      <c r="A1091" t="s">
        <v>258</v>
      </c>
      <c r="B1091" t="s">
        <v>16</v>
      </c>
      <c r="C1091" t="s">
        <v>18</v>
      </c>
      <c r="D1091" t="s">
        <v>233</v>
      </c>
      <c r="E1091" t="s">
        <v>262</v>
      </c>
    </row>
    <row r="1092" spans="1:5" x14ac:dyDescent="0.25">
      <c r="A1092" t="s">
        <v>258</v>
      </c>
      <c r="B1092" t="s">
        <v>16</v>
      </c>
      <c r="C1092" t="s">
        <v>4</v>
      </c>
      <c r="D1092" t="s">
        <v>233</v>
      </c>
      <c r="E1092" t="s">
        <v>266</v>
      </c>
    </row>
    <row r="1093" spans="1:5" x14ac:dyDescent="0.25">
      <c r="A1093" t="s">
        <v>258</v>
      </c>
      <c r="B1093" t="s">
        <v>16</v>
      </c>
      <c r="C1093" t="s">
        <v>5</v>
      </c>
      <c r="D1093" t="s">
        <v>233</v>
      </c>
      <c r="E1093" t="s">
        <v>271</v>
      </c>
    </row>
    <row r="1094" spans="1:5" x14ac:dyDescent="0.25">
      <c r="A1094" t="s">
        <v>258</v>
      </c>
      <c r="B1094" t="s">
        <v>16</v>
      </c>
      <c r="C1094" t="s">
        <v>4</v>
      </c>
      <c r="D1094" t="s">
        <v>239</v>
      </c>
      <c r="E1094" t="s">
        <v>267</v>
      </c>
    </row>
    <row r="1095" spans="1:5" x14ac:dyDescent="0.25">
      <c r="A1095" t="s">
        <v>258</v>
      </c>
      <c r="B1095" t="s">
        <v>16</v>
      </c>
      <c r="C1095" t="s">
        <v>5</v>
      </c>
      <c r="D1095" t="s">
        <v>239</v>
      </c>
      <c r="E1095" t="s">
        <v>272</v>
      </c>
    </row>
    <row r="1096" spans="1:5" x14ac:dyDescent="0.25">
      <c r="A1096" t="s">
        <v>258</v>
      </c>
      <c r="B1096" t="s">
        <v>16</v>
      </c>
      <c r="C1096" t="s">
        <v>4</v>
      </c>
      <c r="D1096" t="s">
        <v>6</v>
      </c>
      <c r="E1096">
        <v>10483</v>
      </c>
    </row>
    <row r="1097" spans="1:5" x14ac:dyDescent="0.25">
      <c r="A1097" t="s">
        <v>258</v>
      </c>
      <c r="B1097" t="s">
        <v>16</v>
      </c>
      <c r="C1097" t="s">
        <v>18</v>
      </c>
      <c r="D1097" t="s">
        <v>6</v>
      </c>
      <c r="E1097">
        <v>361</v>
      </c>
    </row>
    <row r="1098" spans="1:5" x14ac:dyDescent="0.25">
      <c r="A1098" t="s">
        <v>258</v>
      </c>
      <c r="B1098" t="s">
        <v>16</v>
      </c>
      <c r="C1098" t="s">
        <v>5</v>
      </c>
      <c r="D1098" t="s">
        <v>6</v>
      </c>
      <c r="E1098">
        <v>2827</v>
      </c>
    </row>
    <row r="1099" spans="1:5" x14ac:dyDescent="0.25">
      <c r="A1099" t="s">
        <v>258</v>
      </c>
      <c r="B1099" t="s">
        <v>16</v>
      </c>
      <c r="C1099" t="s">
        <v>4</v>
      </c>
      <c r="D1099" t="s">
        <v>17</v>
      </c>
      <c r="E1099">
        <v>178</v>
      </c>
    </row>
    <row r="1100" spans="1:5" x14ac:dyDescent="0.25">
      <c r="A1100" t="s">
        <v>258</v>
      </c>
      <c r="B1100" t="s">
        <v>16</v>
      </c>
      <c r="C1100" t="s">
        <v>18</v>
      </c>
      <c r="D1100" t="s">
        <v>17</v>
      </c>
      <c r="E1100">
        <v>3</v>
      </c>
    </row>
    <row r="1101" spans="1:5" x14ac:dyDescent="0.25">
      <c r="A1101" t="s">
        <v>258</v>
      </c>
      <c r="B1101" t="s">
        <v>16</v>
      </c>
      <c r="C1101" t="s">
        <v>5</v>
      </c>
      <c r="D1101" t="s">
        <v>17</v>
      </c>
      <c r="E1101">
        <v>0</v>
      </c>
    </row>
    <row r="1102" spans="1:5" x14ac:dyDescent="0.25">
      <c r="A1102" t="s">
        <v>258</v>
      </c>
      <c r="B1102" t="s">
        <v>16</v>
      </c>
      <c r="C1102" t="s">
        <v>4</v>
      </c>
      <c r="D1102" t="s">
        <v>29</v>
      </c>
      <c r="E1102" t="s">
        <v>273</v>
      </c>
    </row>
    <row r="1103" spans="1:5" x14ac:dyDescent="0.25">
      <c r="A1103" t="s">
        <v>258</v>
      </c>
      <c r="B1103" t="s">
        <v>16</v>
      </c>
      <c r="C1103" t="s">
        <v>4</v>
      </c>
      <c r="D1103" t="s">
        <v>31</v>
      </c>
      <c r="E1103" t="s">
        <v>274</v>
      </c>
    </row>
    <row r="1104" spans="1:5" x14ac:dyDescent="0.25">
      <c r="A1104" t="s">
        <v>258</v>
      </c>
      <c r="B1104" t="s">
        <v>16</v>
      </c>
      <c r="C1104" t="s">
        <v>5</v>
      </c>
      <c r="D1104" t="s">
        <v>31</v>
      </c>
      <c r="E1104" t="s">
        <v>275</v>
      </c>
    </row>
    <row r="1105" spans="1:5" x14ac:dyDescent="0.25">
      <c r="A1105" t="s">
        <v>258</v>
      </c>
      <c r="B1105" t="s">
        <v>16</v>
      </c>
      <c r="C1105" t="s">
        <v>4</v>
      </c>
      <c r="D1105" t="s">
        <v>249</v>
      </c>
      <c r="E1105" t="s">
        <v>276</v>
      </c>
    </row>
    <row r="1106" spans="1:5" x14ac:dyDescent="0.25">
      <c r="A1106" t="s">
        <v>258</v>
      </c>
      <c r="B1106" t="s">
        <v>16</v>
      </c>
      <c r="C1106" t="s">
        <v>4</v>
      </c>
      <c r="D1106" t="s">
        <v>34</v>
      </c>
      <c r="E1106" t="s">
        <v>277</v>
      </c>
    </row>
    <row r="1107" spans="1:5" x14ac:dyDescent="0.25">
      <c r="A1107" t="s">
        <v>258</v>
      </c>
      <c r="B1107" t="s">
        <v>16</v>
      </c>
      <c r="C1107" t="s">
        <v>18</v>
      </c>
      <c r="D1107" t="s">
        <v>34</v>
      </c>
      <c r="E1107" t="s">
        <v>278</v>
      </c>
    </row>
    <row r="1108" spans="1:5" x14ac:dyDescent="0.25">
      <c r="A1108" t="s">
        <v>258</v>
      </c>
      <c r="B1108" t="s">
        <v>16</v>
      </c>
      <c r="C1108" t="s">
        <v>5</v>
      </c>
      <c r="D1108" t="s">
        <v>34</v>
      </c>
      <c r="E1108" t="s">
        <v>279</v>
      </c>
    </row>
    <row r="1109" spans="1:5" x14ac:dyDescent="0.25">
      <c r="A1109" t="s">
        <v>258</v>
      </c>
      <c r="B1109" t="s">
        <v>16</v>
      </c>
      <c r="C1109" t="s">
        <v>4</v>
      </c>
      <c r="D1109" t="s">
        <v>38</v>
      </c>
      <c r="E1109" t="s">
        <v>280</v>
      </c>
    </row>
    <row r="1110" spans="1:5" x14ac:dyDescent="0.25">
      <c r="A1110" t="s">
        <v>258</v>
      </c>
      <c r="B1110" t="s">
        <v>16</v>
      </c>
      <c r="C1110" t="s">
        <v>18</v>
      </c>
      <c r="D1110" t="s">
        <v>38</v>
      </c>
      <c r="E1110" t="s">
        <v>281</v>
      </c>
    </row>
    <row r="1111" spans="1:5" x14ac:dyDescent="0.25">
      <c r="A1111" t="s">
        <v>258</v>
      </c>
      <c r="B1111" t="s">
        <v>16</v>
      </c>
      <c r="C1111" t="s">
        <v>5</v>
      </c>
      <c r="D1111" t="s">
        <v>38</v>
      </c>
      <c r="E1111" t="s">
        <v>282</v>
      </c>
    </row>
    <row r="1112" spans="1:5" x14ac:dyDescent="0.25">
      <c r="A1112" t="s">
        <v>258</v>
      </c>
      <c r="B1112" t="s">
        <v>16</v>
      </c>
      <c r="C1112" t="s">
        <v>4</v>
      </c>
      <c r="D1112" t="s">
        <v>20</v>
      </c>
      <c r="E1112">
        <v>6468</v>
      </c>
    </row>
    <row r="1113" spans="1:5" x14ac:dyDescent="0.25">
      <c r="A1113" t="s">
        <v>258</v>
      </c>
      <c r="B1113" t="s">
        <v>16</v>
      </c>
      <c r="C1113" t="s">
        <v>18</v>
      </c>
      <c r="D1113" t="s">
        <v>20</v>
      </c>
      <c r="E1113">
        <v>517</v>
      </c>
    </row>
    <row r="1114" spans="1:5" x14ac:dyDescent="0.25">
      <c r="A1114" t="s">
        <v>258</v>
      </c>
      <c r="B1114" t="s">
        <v>16</v>
      </c>
      <c r="C1114" t="s">
        <v>5</v>
      </c>
      <c r="D1114" t="s">
        <v>20</v>
      </c>
      <c r="E1114">
        <v>1719</v>
      </c>
    </row>
    <row r="1115" spans="1:5" x14ac:dyDescent="0.25">
      <c r="A1115" t="s">
        <v>258</v>
      </c>
      <c r="B1115" t="s">
        <v>16</v>
      </c>
      <c r="C1115" t="s">
        <v>4</v>
      </c>
      <c r="D1115" t="s">
        <v>43</v>
      </c>
      <c r="E1115">
        <v>2110</v>
      </c>
    </row>
    <row r="1116" spans="1:5" x14ac:dyDescent="0.25">
      <c r="A1116" t="s">
        <v>258</v>
      </c>
      <c r="B1116" t="s">
        <v>16</v>
      </c>
      <c r="C1116" t="s">
        <v>5</v>
      </c>
      <c r="D1116" t="s">
        <v>43</v>
      </c>
      <c r="E1116">
        <v>705</v>
      </c>
    </row>
    <row r="1117" spans="1:5" x14ac:dyDescent="0.25">
      <c r="A1117" t="s">
        <v>258</v>
      </c>
      <c r="B1117" t="s">
        <v>16</v>
      </c>
      <c r="C1117" t="s">
        <v>4</v>
      </c>
      <c r="D1117" t="s">
        <v>44</v>
      </c>
      <c r="E1117">
        <v>4358</v>
      </c>
    </row>
    <row r="1118" spans="1:5" x14ac:dyDescent="0.25">
      <c r="A1118" t="s">
        <v>258</v>
      </c>
      <c r="B1118" t="s">
        <v>16</v>
      </c>
      <c r="C1118" t="s">
        <v>18</v>
      </c>
      <c r="D1118" t="s">
        <v>44</v>
      </c>
      <c r="E1118">
        <v>517</v>
      </c>
    </row>
    <row r="1119" spans="1:5" x14ac:dyDescent="0.25">
      <c r="A1119" t="s">
        <v>258</v>
      </c>
      <c r="B1119" t="s">
        <v>16</v>
      </c>
      <c r="C1119" t="s">
        <v>5</v>
      </c>
      <c r="D1119" t="s">
        <v>44</v>
      </c>
      <c r="E1119">
        <v>1014</v>
      </c>
    </row>
    <row r="1120" spans="1:5" x14ac:dyDescent="0.25">
      <c r="A1120" t="s">
        <v>258</v>
      </c>
      <c r="B1120" t="s">
        <v>16</v>
      </c>
      <c r="C1120" t="s">
        <v>4</v>
      </c>
      <c r="D1120" t="s">
        <v>21</v>
      </c>
      <c r="E1120">
        <v>0.93173940094213836</v>
      </c>
    </row>
    <row r="1121" spans="1:5" x14ac:dyDescent="0.25">
      <c r="A1121" t="s">
        <v>258</v>
      </c>
      <c r="B1121" t="s">
        <v>16</v>
      </c>
      <c r="C1121" t="s">
        <v>18</v>
      </c>
      <c r="D1121" t="s">
        <v>21</v>
      </c>
      <c r="E1121">
        <v>0.46282051282051279</v>
      </c>
    </row>
    <row r="1122" spans="1:5" x14ac:dyDescent="0.25">
      <c r="A1122" t="s">
        <v>258</v>
      </c>
      <c r="B1122" t="s">
        <v>16</v>
      </c>
      <c r="C1122" t="s">
        <v>5</v>
      </c>
      <c r="D1122" t="s">
        <v>21</v>
      </c>
      <c r="E1122">
        <v>0.9524932614555256</v>
      </c>
    </row>
    <row r="1123" spans="1:5" x14ac:dyDescent="0.25">
      <c r="A1123" t="s">
        <v>258</v>
      </c>
      <c r="B1123" t="s">
        <v>16</v>
      </c>
      <c r="C1123" t="s">
        <v>4</v>
      </c>
      <c r="D1123" t="s">
        <v>22</v>
      </c>
      <c r="E1123">
        <v>0.16185227979735134</v>
      </c>
    </row>
    <row r="1124" spans="1:5" x14ac:dyDescent="0.25">
      <c r="A1124" t="s">
        <v>258</v>
      </c>
      <c r="B1124" t="s">
        <v>16</v>
      </c>
      <c r="C1124" t="s">
        <v>18</v>
      </c>
      <c r="D1124" t="s">
        <v>22</v>
      </c>
      <c r="E1124">
        <v>0.21282051282051281</v>
      </c>
    </row>
    <row r="1125" spans="1:5" x14ac:dyDescent="0.25">
      <c r="A1125" t="s">
        <v>258</v>
      </c>
      <c r="B1125" t="s">
        <v>16</v>
      </c>
      <c r="C1125" t="s">
        <v>5</v>
      </c>
      <c r="D1125" t="s">
        <v>22</v>
      </c>
      <c r="E1125">
        <v>9.4676549865229109E-2</v>
      </c>
    </row>
    <row r="1126" spans="1:5" x14ac:dyDescent="0.25">
      <c r="A1126" t="s">
        <v>258</v>
      </c>
      <c r="B1126" t="s">
        <v>16</v>
      </c>
      <c r="C1126" t="s">
        <v>4</v>
      </c>
      <c r="D1126" t="s">
        <v>23</v>
      </c>
      <c r="E1126">
        <v>0.1848724557817083</v>
      </c>
    </row>
    <row r="1127" spans="1:5" x14ac:dyDescent="0.25">
      <c r="A1127" t="s">
        <v>258</v>
      </c>
      <c r="B1127" t="s">
        <v>16</v>
      </c>
      <c r="C1127" t="s">
        <v>18</v>
      </c>
      <c r="D1127" t="s">
        <v>23</v>
      </c>
      <c r="E1127">
        <v>0.30641025641025643</v>
      </c>
    </row>
    <row r="1128" spans="1:5" x14ac:dyDescent="0.25">
      <c r="A1128" t="s">
        <v>258</v>
      </c>
      <c r="B1128" t="s">
        <v>16</v>
      </c>
      <c r="C1128" t="s">
        <v>5</v>
      </c>
      <c r="D1128" t="s">
        <v>23</v>
      </c>
      <c r="E1128">
        <v>0.20485175202156333</v>
      </c>
    </row>
    <row r="1129" spans="1:5" x14ac:dyDescent="0.25">
      <c r="A1129" t="s">
        <v>258</v>
      </c>
      <c r="B1129" t="s">
        <v>16</v>
      </c>
      <c r="C1129" t="s">
        <v>4</v>
      </c>
      <c r="D1129" t="s">
        <v>621</v>
      </c>
      <c r="E1129">
        <v>0.65327526442094042</v>
      </c>
    </row>
    <row r="1130" spans="1:5" x14ac:dyDescent="0.25">
      <c r="A1130" t="s">
        <v>258</v>
      </c>
      <c r="B1130" t="s">
        <v>16</v>
      </c>
      <c r="C1130" t="s">
        <v>18</v>
      </c>
      <c r="D1130" t="s">
        <v>621</v>
      </c>
      <c r="E1130">
        <v>0.48076923076923078</v>
      </c>
    </row>
    <row r="1131" spans="1:5" x14ac:dyDescent="0.25">
      <c r="A1131" t="s">
        <v>258</v>
      </c>
      <c r="B1131" t="s">
        <v>16</v>
      </c>
      <c r="C1131" t="s">
        <v>5</v>
      </c>
      <c r="D1131" t="s">
        <v>621</v>
      </c>
      <c r="E1131">
        <v>0.70047169811320753</v>
      </c>
    </row>
    <row r="1132" spans="1:5" x14ac:dyDescent="0.25">
      <c r="A1132" t="s">
        <v>258</v>
      </c>
      <c r="B1132" t="s">
        <v>16</v>
      </c>
      <c r="C1132" t="s">
        <v>5</v>
      </c>
      <c r="D1132" t="s">
        <v>256</v>
      </c>
      <c r="E1132" t="s">
        <v>283</v>
      </c>
    </row>
    <row r="1133" spans="1:5" x14ac:dyDescent="0.25">
      <c r="A1133" t="s">
        <v>258</v>
      </c>
      <c r="B1133" t="s">
        <v>16</v>
      </c>
      <c r="C1133" t="s">
        <v>4</v>
      </c>
      <c r="D1133" t="s">
        <v>24</v>
      </c>
      <c r="E1133">
        <v>378.0100000000001</v>
      </c>
    </row>
    <row r="1134" spans="1:5" x14ac:dyDescent="0.25">
      <c r="A1134" t="s">
        <v>258</v>
      </c>
      <c r="B1134" t="s">
        <v>16</v>
      </c>
      <c r="C1134" t="s">
        <v>18</v>
      </c>
      <c r="D1134" t="s">
        <v>24</v>
      </c>
      <c r="E1134">
        <v>85.99</v>
      </c>
    </row>
    <row r="1135" spans="1:5" x14ac:dyDescent="0.25">
      <c r="A1135" t="s">
        <v>258</v>
      </c>
      <c r="B1135" t="s">
        <v>16</v>
      </c>
      <c r="C1135" t="s">
        <v>5</v>
      </c>
      <c r="D1135" t="s">
        <v>24</v>
      </c>
      <c r="E1135">
        <v>159.55000000000007</v>
      </c>
    </row>
    <row r="1136" spans="1:5" x14ac:dyDescent="0.25">
      <c r="A1136" t="s">
        <v>258</v>
      </c>
      <c r="B1136" t="s">
        <v>16</v>
      </c>
      <c r="C1136" t="s">
        <v>19</v>
      </c>
      <c r="D1136" t="s">
        <v>45</v>
      </c>
      <c r="E1136">
        <v>1550370</v>
      </c>
    </row>
    <row r="1137" spans="1:5" x14ac:dyDescent="0.25">
      <c r="A1137" t="s">
        <v>258</v>
      </c>
      <c r="B1137" t="s">
        <v>16</v>
      </c>
      <c r="C1137" t="s">
        <v>19</v>
      </c>
      <c r="D1137" t="s">
        <v>46</v>
      </c>
      <c r="E1137">
        <v>29873</v>
      </c>
    </row>
    <row r="1138" spans="1:5" x14ac:dyDescent="0.25">
      <c r="A1138" t="s">
        <v>284</v>
      </c>
      <c r="B1138" t="s">
        <v>285</v>
      </c>
      <c r="C1138" t="s">
        <v>4</v>
      </c>
      <c r="D1138" t="s">
        <v>286</v>
      </c>
      <c r="E1138" t="s">
        <v>287</v>
      </c>
    </row>
    <row r="1139" spans="1:5" x14ac:dyDescent="0.25">
      <c r="A1139" t="s">
        <v>284</v>
      </c>
      <c r="B1139" t="s">
        <v>16</v>
      </c>
      <c r="C1139" t="s">
        <v>4</v>
      </c>
      <c r="D1139" t="s">
        <v>226</v>
      </c>
      <c r="E1139">
        <v>351659.64899999998</v>
      </c>
    </row>
    <row r="1140" spans="1:5" x14ac:dyDescent="0.25">
      <c r="A1140" t="s">
        <v>284</v>
      </c>
      <c r="B1140" t="s">
        <v>16</v>
      </c>
      <c r="C1140" t="s">
        <v>18</v>
      </c>
      <c r="D1140" t="s">
        <v>226</v>
      </c>
      <c r="E1140">
        <v>34993.722220000003</v>
      </c>
    </row>
    <row r="1141" spans="1:5" x14ac:dyDescent="0.25">
      <c r="A1141" t="s">
        <v>284</v>
      </c>
      <c r="B1141" t="s">
        <v>16</v>
      </c>
      <c r="C1141" t="s">
        <v>5</v>
      </c>
      <c r="D1141" t="s">
        <v>226</v>
      </c>
      <c r="E1141">
        <v>365731.55810000002</v>
      </c>
    </row>
    <row r="1142" spans="1:5" x14ac:dyDescent="0.25">
      <c r="A1142" t="s">
        <v>284</v>
      </c>
      <c r="B1142" t="s">
        <v>285</v>
      </c>
      <c r="C1142" t="s">
        <v>4</v>
      </c>
      <c r="D1142" t="s">
        <v>226</v>
      </c>
      <c r="E1142">
        <v>207762.23116883103</v>
      </c>
    </row>
    <row r="1143" spans="1:5" x14ac:dyDescent="0.25">
      <c r="A1143" t="s">
        <v>284</v>
      </c>
      <c r="B1143" t="s">
        <v>288</v>
      </c>
      <c r="C1143" t="s">
        <v>4</v>
      </c>
      <c r="D1143" t="s">
        <v>226</v>
      </c>
      <c r="E1143">
        <v>279321.42222222209</v>
      </c>
    </row>
    <row r="1144" spans="1:5" x14ac:dyDescent="0.25">
      <c r="A1144" t="s">
        <v>284</v>
      </c>
      <c r="B1144" t="s">
        <v>288</v>
      </c>
      <c r="C1144" t="s">
        <v>18</v>
      </c>
      <c r="D1144" t="s">
        <v>226</v>
      </c>
      <c r="E1144">
        <v>22305.416666666664</v>
      </c>
    </row>
    <row r="1145" spans="1:5" x14ac:dyDescent="0.25">
      <c r="A1145" t="s">
        <v>284</v>
      </c>
      <c r="B1145" t="s">
        <v>288</v>
      </c>
      <c r="C1145" t="s">
        <v>5</v>
      </c>
      <c r="D1145" t="s">
        <v>226</v>
      </c>
      <c r="E1145">
        <v>203712.76666666663</v>
      </c>
    </row>
    <row r="1146" spans="1:5" x14ac:dyDescent="0.25">
      <c r="A1146" t="s">
        <v>284</v>
      </c>
      <c r="B1146" t="s">
        <v>16</v>
      </c>
      <c r="C1146" t="s">
        <v>4</v>
      </c>
      <c r="D1146" t="s">
        <v>48</v>
      </c>
      <c r="E1146">
        <v>91553.979980000004</v>
      </c>
    </row>
    <row r="1147" spans="1:5" x14ac:dyDescent="0.25">
      <c r="A1147" t="s">
        <v>284</v>
      </c>
      <c r="B1147" t="s">
        <v>16</v>
      </c>
      <c r="C1147" t="s">
        <v>5</v>
      </c>
      <c r="D1147" t="s">
        <v>48</v>
      </c>
      <c r="E1147">
        <v>40672.380409999998</v>
      </c>
    </row>
    <row r="1148" spans="1:5" x14ac:dyDescent="0.25">
      <c r="A1148" t="s">
        <v>284</v>
      </c>
      <c r="B1148" t="s">
        <v>285</v>
      </c>
      <c r="C1148" t="s">
        <v>4</v>
      </c>
      <c r="D1148" t="s">
        <v>48</v>
      </c>
      <c r="E1148">
        <v>146909.31576479116</v>
      </c>
    </row>
    <row r="1149" spans="1:5" x14ac:dyDescent="0.25">
      <c r="A1149" t="s">
        <v>284</v>
      </c>
      <c r="B1149" t="s">
        <v>285</v>
      </c>
      <c r="C1149" t="s">
        <v>5</v>
      </c>
      <c r="D1149" t="s">
        <v>48</v>
      </c>
      <c r="E1149">
        <v>63027.813744588719</v>
      </c>
    </row>
    <row r="1150" spans="1:5" x14ac:dyDescent="0.25">
      <c r="A1150" t="s">
        <v>284</v>
      </c>
      <c r="B1150" t="s">
        <v>288</v>
      </c>
      <c r="C1150" t="s">
        <v>4</v>
      </c>
      <c r="D1150" t="s">
        <v>48</v>
      </c>
      <c r="E1150">
        <v>52356.396717171854</v>
      </c>
    </row>
    <row r="1151" spans="1:5" x14ac:dyDescent="0.25">
      <c r="A1151" t="s">
        <v>284</v>
      </c>
      <c r="B1151" t="s">
        <v>288</v>
      </c>
      <c r="C1151" t="s">
        <v>18</v>
      </c>
      <c r="D1151" t="s">
        <v>48</v>
      </c>
      <c r="E1151">
        <v>5790.4769119769089</v>
      </c>
    </row>
    <row r="1152" spans="1:5" x14ac:dyDescent="0.25">
      <c r="A1152" t="s">
        <v>284</v>
      </c>
      <c r="B1152" t="s">
        <v>285</v>
      </c>
      <c r="C1152" t="s">
        <v>4</v>
      </c>
      <c r="D1152" t="s">
        <v>289</v>
      </c>
      <c r="E1152">
        <v>312.41666666666669</v>
      </c>
    </row>
    <row r="1153" spans="1:5" x14ac:dyDescent="0.25">
      <c r="A1153" t="s">
        <v>284</v>
      </c>
      <c r="B1153" t="s">
        <v>16</v>
      </c>
      <c r="C1153" t="s">
        <v>4</v>
      </c>
      <c r="D1153" t="s">
        <v>227</v>
      </c>
      <c r="E1153">
        <v>98004.077669999999</v>
      </c>
    </row>
    <row r="1154" spans="1:5" x14ac:dyDescent="0.25">
      <c r="A1154" t="s">
        <v>284</v>
      </c>
      <c r="B1154" t="s">
        <v>16</v>
      </c>
      <c r="C1154" t="s">
        <v>18</v>
      </c>
      <c r="D1154" t="s">
        <v>227</v>
      </c>
      <c r="E1154">
        <v>15313.96681</v>
      </c>
    </row>
    <row r="1155" spans="1:5" x14ac:dyDescent="0.25">
      <c r="A1155" t="s">
        <v>284</v>
      </c>
      <c r="B1155" t="s">
        <v>16</v>
      </c>
      <c r="C1155" t="s">
        <v>5</v>
      </c>
      <c r="D1155" t="s">
        <v>227</v>
      </c>
      <c r="E1155">
        <v>41046.26324</v>
      </c>
    </row>
    <row r="1156" spans="1:5" x14ac:dyDescent="0.25">
      <c r="A1156" t="s">
        <v>284</v>
      </c>
      <c r="B1156" t="s">
        <v>285</v>
      </c>
      <c r="C1156" t="s">
        <v>4</v>
      </c>
      <c r="D1156" t="s">
        <v>227</v>
      </c>
      <c r="E1156">
        <v>113283.67813852816</v>
      </c>
    </row>
    <row r="1157" spans="1:5" x14ac:dyDescent="0.25">
      <c r="A1157" t="s">
        <v>284</v>
      </c>
      <c r="B1157" t="s">
        <v>285</v>
      </c>
      <c r="C1157" t="s">
        <v>5</v>
      </c>
      <c r="D1157" t="s">
        <v>227</v>
      </c>
      <c r="E1157">
        <v>55306.397150072189</v>
      </c>
    </row>
    <row r="1158" spans="1:5" x14ac:dyDescent="0.25">
      <c r="A1158" t="s">
        <v>284</v>
      </c>
      <c r="B1158" t="s">
        <v>288</v>
      </c>
      <c r="C1158" t="s">
        <v>4</v>
      </c>
      <c r="D1158" t="s">
        <v>227</v>
      </c>
      <c r="E1158">
        <v>100409.59906204914</v>
      </c>
    </row>
    <row r="1159" spans="1:5" x14ac:dyDescent="0.25">
      <c r="A1159" t="s">
        <v>284</v>
      </c>
      <c r="B1159" t="s">
        <v>288</v>
      </c>
      <c r="C1159" t="s">
        <v>18</v>
      </c>
      <c r="D1159" t="s">
        <v>227</v>
      </c>
      <c r="E1159">
        <v>15006.09523809524</v>
      </c>
    </row>
    <row r="1160" spans="1:5" x14ac:dyDescent="0.25">
      <c r="A1160" t="s">
        <v>284</v>
      </c>
      <c r="B1160" t="s">
        <v>288</v>
      </c>
      <c r="C1160" t="s">
        <v>5</v>
      </c>
      <c r="D1160" t="s">
        <v>227</v>
      </c>
      <c r="E1160">
        <v>89096.883766233717</v>
      </c>
    </row>
    <row r="1161" spans="1:5" x14ac:dyDescent="0.25">
      <c r="A1161" t="s">
        <v>284</v>
      </c>
      <c r="B1161" t="s">
        <v>285</v>
      </c>
      <c r="C1161" t="s">
        <v>4</v>
      </c>
      <c r="D1161" t="s">
        <v>290</v>
      </c>
      <c r="E1161">
        <v>34259.567460317456</v>
      </c>
    </row>
    <row r="1162" spans="1:5" x14ac:dyDescent="0.25">
      <c r="A1162" t="s">
        <v>284</v>
      </c>
      <c r="B1162" t="s">
        <v>288</v>
      </c>
      <c r="C1162" t="s">
        <v>4</v>
      </c>
      <c r="D1162" t="s">
        <v>290</v>
      </c>
      <c r="E1162">
        <v>90448.579437229506</v>
      </c>
    </row>
    <row r="1163" spans="1:5" x14ac:dyDescent="0.25">
      <c r="A1163" t="s">
        <v>284</v>
      </c>
      <c r="B1163" t="s">
        <v>288</v>
      </c>
      <c r="C1163" t="s">
        <v>18</v>
      </c>
      <c r="D1163" t="s">
        <v>290</v>
      </c>
      <c r="E1163">
        <v>12184.123737373737</v>
      </c>
    </row>
    <row r="1164" spans="1:5" x14ac:dyDescent="0.25">
      <c r="A1164" t="s">
        <v>284</v>
      </c>
      <c r="B1164" t="s">
        <v>288</v>
      </c>
      <c r="C1164" t="s">
        <v>5</v>
      </c>
      <c r="D1164" t="s">
        <v>290</v>
      </c>
      <c r="E1164">
        <v>124780.04134199124</v>
      </c>
    </row>
    <row r="1165" spans="1:5" x14ac:dyDescent="0.25">
      <c r="A1165" t="s">
        <v>284</v>
      </c>
      <c r="B1165" t="s">
        <v>16</v>
      </c>
      <c r="C1165" t="s">
        <v>4</v>
      </c>
      <c r="D1165" t="s">
        <v>49</v>
      </c>
      <c r="E1165">
        <v>178520.7181</v>
      </c>
    </row>
    <row r="1166" spans="1:5" x14ac:dyDescent="0.25">
      <c r="A1166" t="s">
        <v>284</v>
      </c>
      <c r="B1166" t="s">
        <v>16</v>
      </c>
      <c r="C1166" t="s">
        <v>18</v>
      </c>
      <c r="D1166" t="s">
        <v>49</v>
      </c>
      <c r="E1166">
        <v>13928.63636</v>
      </c>
    </row>
    <row r="1167" spans="1:5" x14ac:dyDescent="0.25">
      <c r="A1167" t="s">
        <v>284</v>
      </c>
      <c r="B1167" t="s">
        <v>16</v>
      </c>
      <c r="C1167" t="s">
        <v>5</v>
      </c>
      <c r="D1167" t="s">
        <v>49</v>
      </c>
      <c r="E1167">
        <v>86587.284520000001</v>
      </c>
    </row>
    <row r="1168" spans="1:5" x14ac:dyDescent="0.25">
      <c r="A1168" t="s">
        <v>284</v>
      </c>
      <c r="B1168" t="s">
        <v>285</v>
      </c>
      <c r="C1168" t="s">
        <v>4</v>
      </c>
      <c r="D1168" t="s">
        <v>49</v>
      </c>
      <c r="E1168">
        <v>133564.69047619062</v>
      </c>
    </row>
    <row r="1169" spans="1:5" x14ac:dyDescent="0.25">
      <c r="A1169" t="s">
        <v>284</v>
      </c>
      <c r="B1169" t="s">
        <v>285</v>
      </c>
      <c r="C1169" t="s">
        <v>5</v>
      </c>
      <c r="D1169" t="s">
        <v>49</v>
      </c>
      <c r="E1169">
        <v>115241.40660173156</v>
      </c>
    </row>
    <row r="1170" spans="1:5" x14ac:dyDescent="0.25">
      <c r="A1170" t="s">
        <v>284</v>
      </c>
      <c r="B1170" t="s">
        <v>288</v>
      </c>
      <c r="C1170" t="s">
        <v>4</v>
      </c>
      <c r="D1170" t="s">
        <v>49</v>
      </c>
      <c r="E1170">
        <v>173894.08961038943</v>
      </c>
    </row>
    <row r="1171" spans="1:5" x14ac:dyDescent="0.25">
      <c r="A1171" t="s">
        <v>284</v>
      </c>
      <c r="B1171" t="s">
        <v>288</v>
      </c>
      <c r="C1171" t="s">
        <v>18</v>
      </c>
      <c r="D1171" t="s">
        <v>49</v>
      </c>
      <c r="E1171">
        <v>14166.001515151513</v>
      </c>
    </row>
    <row r="1172" spans="1:5" x14ac:dyDescent="0.25">
      <c r="A1172" t="s">
        <v>284</v>
      </c>
      <c r="B1172" t="s">
        <v>288</v>
      </c>
      <c r="C1172" t="s">
        <v>5</v>
      </c>
      <c r="D1172" t="s">
        <v>49</v>
      </c>
      <c r="E1172">
        <v>66623.435930735897</v>
      </c>
    </row>
    <row r="1173" spans="1:5" x14ac:dyDescent="0.25">
      <c r="A1173" t="s">
        <v>284</v>
      </c>
      <c r="B1173" t="s">
        <v>16</v>
      </c>
      <c r="C1173" t="s">
        <v>4</v>
      </c>
      <c r="D1173" t="s">
        <v>228</v>
      </c>
      <c r="E1173">
        <v>92654.110639999999</v>
      </c>
    </row>
    <row r="1174" spans="1:5" x14ac:dyDescent="0.25">
      <c r="A1174" t="s">
        <v>284</v>
      </c>
      <c r="B1174" t="s">
        <v>285</v>
      </c>
      <c r="C1174" t="s">
        <v>4</v>
      </c>
      <c r="D1174" t="s">
        <v>228</v>
      </c>
      <c r="E1174">
        <v>89680.159487734563</v>
      </c>
    </row>
    <row r="1175" spans="1:5" x14ac:dyDescent="0.25">
      <c r="A1175" t="s">
        <v>284</v>
      </c>
      <c r="B1175" t="s">
        <v>285</v>
      </c>
      <c r="C1175" t="s">
        <v>5</v>
      </c>
      <c r="D1175" t="s">
        <v>228</v>
      </c>
      <c r="E1175">
        <v>27889.402597402601</v>
      </c>
    </row>
    <row r="1176" spans="1:5" x14ac:dyDescent="0.25">
      <c r="A1176" t="s">
        <v>284</v>
      </c>
      <c r="B1176" t="s">
        <v>288</v>
      </c>
      <c r="C1176" t="s">
        <v>4</v>
      </c>
      <c r="D1176" t="s">
        <v>228</v>
      </c>
      <c r="E1176">
        <v>16938.737878787881</v>
      </c>
    </row>
    <row r="1177" spans="1:5" x14ac:dyDescent="0.25">
      <c r="A1177" t="s">
        <v>284</v>
      </c>
      <c r="B1177" t="s">
        <v>288</v>
      </c>
      <c r="C1177" t="s">
        <v>18</v>
      </c>
      <c r="D1177" t="s">
        <v>228</v>
      </c>
      <c r="E1177">
        <v>8475.9696969696961</v>
      </c>
    </row>
    <row r="1178" spans="1:5" x14ac:dyDescent="0.25">
      <c r="A1178" t="s">
        <v>284</v>
      </c>
      <c r="B1178" t="s">
        <v>288</v>
      </c>
      <c r="C1178" t="s">
        <v>5</v>
      </c>
      <c r="D1178" t="s">
        <v>228</v>
      </c>
      <c r="E1178">
        <v>15873.235497835496</v>
      </c>
    </row>
    <row r="1179" spans="1:5" x14ac:dyDescent="0.25">
      <c r="A1179" t="s">
        <v>284</v>
      </c>
      <c r="B1179" t="s">
        <v>16</v>
      </c>
      <c r="C1179" t="s">
        <v>4</v>
      </c>
      <c r="D1179" t="s">
        <v>229</v>
      </c>
      <c r="E1179">
        <v>127223.7061</v>
      </c>
    </row>
    <row r="1180" spans="1:5" x14ac:dyDescent="0.25">
      <c r="A1180" t="s">
        <v>284</v>
      </c>
      <c r="B1180" t="s">
        <v>16</v>
      </c>
      <c r="C1180" t="s">
        <v>18</v>
      </c>
      <c r="D1180" t="s">
        <v>229</v>
      </c>
      <c r="E1180">
        <v>11552.666160000001</v>
      </c>
    </row>
    <row r="1181" spans="1:5" x14ac:dyDescent="0.25">
      <c r="A1181" t="s">
        <v>284</v>
      </c>
      <c r="B1181" t="s">
        <v>16</v>
      </c>
      <c r="C1181" t="s">
        <v>5</v>
      </c>
      <c r="D1181" t="s">
        <v>229</v>
      </c>
      <c r="E1181">
        <v>68711.887270000007</v>
      </c>
    </row>
    <row r="1182" spans="1:5" x14ac:dyDescent="0.25">
      <c r="A1182" t="s">
        <v>284</v>
      </c>
      <c r="B1182" t="s">
        <v>285</v>
      </c>
      <c r="C1182" t="s">
        <v>4</v>
      </c>
      <c r="D1182" t="s">
        <v>229</v>
      </c>
      <c r="E1182">
        <v>119013.4784632034</v>
      </c>
    </row>
    <row r="1183" spans="1:5" x14ac:dyDescent="0.25">
      <c r="A1183" t="s">
        <v>284</v>
      </c>
      <c r="B1183" t="s">
        <v>285</v>
      </c>
      <c r="C1183" t="s">
        <v>5</v>
      </c>
      <c r="D1183" t="s">
        <v>229</v>
      </c>
      <c r="E1183">
        <v>121055.53820346312</v>
      </c>
    </row>
    <row r="1184" spans="1:5" x14ac:dyDescent="0.25">
      <c r="A1184" t="s">
        <v>284</v>
      </c>
      <c r="B1184" t="s">
        <v>288</v>
      </c>
      <c r="C1184" t="s">
        <v>4</v>
      </c>
      <c r="D1184" t="s">
        <v>229</v>
      </c>
      <c r="E1184">
        <v>119421.96933621948</v>
      </c>
    </row>
    <row r="1185" spans="1:5" x14ac:dyDescent="0.25">
      <c r="A1185" t="s">
        <v>284</v>
      </c>
      <c r="B1185" t="s">
        <v>288</v>
      </c>
      <c r="C1185" t="s">
        <v>18</v>
      </c>
      <c r="D1185" t="s">
        <v>229</v>
      </c>
      <c r="E1185">
        <v>1777.1666666666667</v>
      </c>
    </row>
    <row r="1186" spans="1:5" x14ac:dyDescent="0.25">
      <c r="A1186" t="s">
        <v>284</v>
      </c>
      <c r="B1186" t="s">
        <v>288</v>
      </c>
      <c r="C1186" t="s">
        <v>5</v>
      </c>
      <c r="D1186" t="s">
        <v>229</v>
      </c>
      <c r="E1186">
        <v>84663.405627705564</v>
      </c>
    </row>
    <row r="1187" spans="1:5" x14ac:dyDescent="0.25">
      <c r="A1187" t="s">
        <v>284</v>
      </c>
      <c r="B1187" t="s">
        <v>16</v>
      </c>
      <c r="C1187" t="s">
        <v>4</v>
      </c>
      <c r="D1187" t="s">
        <v>50</v>
      </c>
      <c r="E1187">
        <v>494.50757579999998</v>
      </c>
    </row>
    <row r="1188" spans="1:5" x14ac:dyDescent="0.25">
      <c r="A1188" t="s">
        <v>284</v>
      </c>
      <c r="B1188" t="s">
        <v>16</v>
      </c>
      <c r="C1188" t="s">
        <v>18</v>
      </c>
      <c r="D1188" t="s">
        <v>50</v>
      </c>
      <c r="E1188">
        <v>13353.596680000001</v>
      </c>
    </row>
    <row r="1189" spans="1:5" x14ac:dyDescent="0.25">
      <c r="A1189" t="s">
        <v>284</v>
      </c>
      <c r="B1189" t="s">
        <v>16</v>
      </c>
      <c r="C1189" t="s">
        <v>5</v>
      </c>
      <c r="D1189" t="s">
        <v>50</v>
      </c>
      <c r="E1189">
        <v>38130.692710000003</v>
      </c>
    </row>
    <row r="1190" spans="1:5" x14ac:dyDescent="0.25">
      <c r="A1190" t="s">
        <v>284</v>
      </c>
      <c r="B1190" t="s">
        <v>285</v>
      </c>
      <c r="C1190" t="s">
        <v>4</v>
      </c>
      <c r="D1190" t="s">
        <v>50</v>
      </c>
      <c r="E1190">
        <v>1949.5764069264069</v>
      </c>
    </row>
    <row r="1191" spans="1:5" x14ac:dyDescent="0.25">
      <c r="A1191" t="s">
        <v>284</v>
      </c>
      <c r="B1191" t="s">
        <v>16</v>
      </c>
      <c r="C1191" t="s">
        <v>18</v>
      </c>
      <c r="D1191" t="s">
        <v>59</v>
      </c>
      <c r="E1191" t="s">
        <v>291</v>
      </c>
    </row>
    <row r="1192" spans="1:5" x14ac:dyDescent="0.25">
      <c r="A1192" t="s">
        <v>284</v>
      </c>
      <c r="B1192" t="s">
        <v>16</v>
      </c>
      <c r="C1192" t="s">
        <v>4</v>
      </c>
      <c r="D1192" t="s">
        <v>59</v>
      </c>
      <c r="E1192" t="s">
        <v>295</v>
      </c>
    </row>
    <row r="1193" spans="1:5" x14ac:dyDescent="0.25">
      <c r="A1193" t="s">
        <v>284</v>
      </c>
      <c r="B1193" t="s">
        <v>16</v>
      </c>
      <c r="C1193" t="s">
        <v>5</v>
      </c>
      <c r="D1193" t="s">
        <v>59</v>
      </c>
      <c r="E1193" t="s">
        <v>300</v>
      </c>
    </row>
    <row r="1194" spans="1:5" x14ac:dyDescent="0.25">
      <c r="A1194" t="s">
        <v>284</v>
      </c>
      <c r="B1194" t="s">
        <v>288</v>
      </c>
      <c r="C1194" t="s">
        <v>18</v>
      </c>
      <c r="D1194" t="s">
        <v>59</v>
      </c>
      <c r="E1194" t="s">
        <v>305</v>
      </c>
    </row>
    <row r="1195" spans="1:5" x14ac:dyDescent="0.25">
      <c r="A1195" t="s">
        <v>284</v>
      </c>
      <c r="B1195" t="s">
        <v>288</v>
      </c>
      <c r="C1195" t="s">
        <v>4</v>
      </c>
      <c r="D1195" t="s">
        <v>59</v>
      </c>
      <c r="E1195" t="s">
        <v>309</v>
      </c>
    </row>
    <row r="1196" spans="1:5" x14ac:dyDescent="0.25">
      <c r="A1196" t="s">
        <v>284</v>
      </c>
      <c r="B1196" t="s">
        <v>288</v>
      </c>
      <c r="C1196" t="s">
        <v>5</v>
      </c>
      <c r="D1196" t="s">
        <v>59</v>
      </c>
      <c r="E1196" t="s">
        <v>314</v>
      </c>
    </row>
    <row r="1197" spans="1:5" x14ac:dyDescent="0.25">
      <c r="A1197" t="s">
        <v>284</v>
      </c>
      <c r="B1197" t="s">
        <v>285</v>
      </c>
      <c r="C1197" t="s">
        <v>4</v>
      </c>
      <c r="D1197" t="s">
        <v>59</v>
      </c>
      <c r="E1197" t="s">
        <v>319</v>
      </c>
    </row>
    <row r="1198" spans="1:5" x14ac:dyDescent="0.25">
      <c r="A1198" t="s">
        <v>284</v>
      </c>
      <c r="B1198" t="s">
        <v>285</v>
      </c>
      <c r="C1198" t="s">
        <v>5</v>
      </c>
      <c r="D1198" t="s">
        <v>59</v>
      </c>
      <c r="E1198" t="s">
        <v>324</v>
      </c>
    </row>
    <row r="1199" spans="1:5" x14ac:dyDescent="0.25">
      <c r="A1199" t="s">
        <v>284</v>
      </c>
      <c r="B1199" t="s">
        <v>16</v>
      </c>
      <c r="C1199" t="s">
        <v>18</v>
      </c>
      <c r="D1199" t="s">
        <v>63</v>
      </c>
      <c r="E1199" t="s">
        <v>292</v>
      </c>
    </row>
    <row r="1200" spans="1:5" x14ac:dyDescent="0.25">
      <c r="A1200" t="s">
        <v>284</v>
      </c>
      <c r="B1200" t="s">
        <v>16</v>
      </c>
      <c r="C1200" t="s">
        <v>4</v>
      </c>
      <c r="D1200" t="s">
        <v>63</v>
      </c>
      <c r="E1200" t="s">
        <v>296</v>
      </c>
    </row>
    <row r="1201" spans="1:5" x14ac:dyDescent="0.25">
      <c r="A1201" t="s">
        <v>284</v>
      </c>
      <c r="B1201" t="s">
        <v>16</v>
      </c>
      <c r="C1201" t="s">
        <v>5</v>
      </c>
      <c r="D1201" t="s">
        <v>63</v>
      </c>
      <c r="E1201" t="s">
        <v>301</v>
      </c>
    </row>
    <row r="1202" spans="1:5" x14ac:dyDescent="0.25">
      <c r="A1202" t="s">
        <v>284</v>
      </c>
      <c r="B1202" t="s">
        <v>288</v>
      </c>
      <c r="C1202" t="s">
        <v>18</v>
      </c>
      <c r="D1202" t="s">
        <v>63</v>
      </c>
      <c r="E1202" t="s">
        <v>306</v>
      </c>
    </row>
    <row r="1203" spans="1:5" x14ac:dyDescent="0.25">
      <c r="A1203" t="s">
        <v>284</v>
      </c>
      <c r="B1203" t="s">
        <v>288</v>
      </c>
      <c r="C1203" t="s">
        <v>4</v>
      </c>
      <c r="D1203" t="s">
        <v>63</v>
      </c>
      <c r="E1203" t="s">
        <v>310</v>
      </c>
    </row>
    <row r="1204" spans="1:5" x14ac:dyDescent="0.25">
      <c r="A1204" t="s">
        <v>284</v>
      </c>
      <c r="B1204" t="s">
        <v>288</v>
      </c>
      <c r="C1204" t="s">
        <v>5</v>
      </c>
      <c r="D1204" t="s">
        <v>63</v>
      </c>
      <c r="E1204" t="s">
        <v>315</v>
      </c>
    </row>
    <row r="1205" spans="1:5" x14ac:dyDescent="0.25">
      <c r="A1205" t="s">
        <v>284</v>
      </c>
      <c r="B1205" t="s">
        <v>285</v>
      </c>
      <c r="C1205" t="s">
        <v>4</v>
      </c>
      <c r="D1205" t="s">
        <v>63</v>
      </c>
      <c r="E1205" t="s">
        <v>320</v>
      </c>
    </row>
    <row r="1206" spans="1:5" x14ac:dyDescent="0.25">
      <c r="A1206" t="s">
        <v>284</v>
      </c>
      <c r="B1206" t="s">
        <v>285</v>
      </c>
      <c r="C1206" t="s">
        <v>5</v>
      </c>
      <c r="D1206" t="s">
        <v>63</v>
      </c>
      <c r="E1206" t="s">
        <v>325</v>
      </c>
    </row>
    <row r="1207" spans="1:5" x14ac:dyDescent="0.25">
      <c r="A1207" t="s">
        <v>284</v>
      </c>
      <c r="B1207" t="s">
        <v>16</v>
      </c>
      <c r="C1207" t="s">
        <v>18</v>
      </c>
      <c r="D1207" t="s">
        <v>67</v>
      </c>
      <c r="E1207" t="s">
        <v>293</v>
      </c>
    </row>
    <row r="1208" spans="1:5" x14ac:dyDescent="0.25">
      <c r="A1208" t="s">
        <v>284</v>
      </c>
      <c r="B1208" t="s">
        <v>16</v>
      </c>
      <c r="C1208" t="s">
        <v>4</v>
      </c>
      <c r="D1208" t="s">
        <v>67</v>
      </c>
      <c r="E1208" t="s">
        <v>297</v>
      </c>
    </row>
    <row r="1209" spans="1:5" x14ac:dyDescent="0.25">
      <c r="A1209" t="s">
        <v>284</v>
      </c>
      <c r="B1209" t="s">
        <v>16</v>
      </c>
      <c r="C1209" t="s">
        <v>5</v>
      </c>
      <c r="D1209" t="s">
        <v>67</v>
      </c>
      <c r="E1209" t="s">
        <v>302</v>
      </c>
    </row>
    <row r="1210" spans="1:5" x14ac:dyDescent="0.25">
      <c r="A1210" t="s">
        <v>284</v>
      </c>
      <c r="B1210" t="s">
        <v>288</v>
      </c>
      <c r="C1210" t="s">
        <v>18</v>
      </c>
      <c r="D1210" t="s">
        <v>67</v>
      </c>
      <c r="E1210" t="s">
        <v>307</v>
      </c>
    </row>
    <row r="1211" spans="1:5" x14ac:dyDescent="0.25">
      <c r="A1211" t="s">
        <v>284</v>
      </c>
      <c r="B1211" t="s">
        <v>288</v>
      </c>
      <c r="C1211" t="s">
        <v>4</v>
      </c>
      <c r="D1211" t="s">
        <v>67</v>
      </c>
      <c r="E1211" t="s">
        <v>311</v>
      </c>
    </row>
    <row r="1212" spans="1:5" x14ac:dyDescent="0.25">
      <c r="A1212" t="s">
        <v>284</v>
      </c>
      <c r="B1212" t="s">
        <v>288</v>
      </c>
      <c r="C1212" t="s">
        <v>5</v>
      </c>
      <c r="D1212" t="s">
        <v>67</v>
      </c>
      <c r="E1212" t="s">
        <v>316</v>
      </c>
    </row>
    <row r="1213" spans="1:5" x14ac:dyDescent="0.25">
      <c r="A1213" t="s">
        <v>284</v>
      </c>
      <c r="B1213" t="s">
        <v>285</v>
      </c>
      <c r="C1213" t="s">
        <v>4</v>
      </c>
      <c r="D1213" t="s">
        <v>67</v>
      </c>
      <c r="E1213" t="s">
        <v>321</v>
      </c>
    </row>
    <row r="1214" spans="1:5" x14ac:dyDescent="0.25">
      <c r="A1214" t="s">
        <v>284</v>
      </c>
      <c r="B1214" t="s">
        <v>285</v>
      </c>
      <c r="C1214" t="s">
        <v>5</v>
      </c>
      <c r="D1214" t="s">
        <v>67</v>
      </c>
      <c r="E1214" t="s">
        <v>326</v>
      </c>
    </row>
    <row r="1215" spans="1:5" x14ac:dyDescent="0.25">
      <c r="A1215" t="s">
        <v>284</v>
      </c>
      <c r="B1215" t="s">
        <v>16</v>
      </c>
      <c r="C1215" t="s">
        <v>18</v>
      </c>
      <c r="D1215" t="s">
        <v>233</v>
      </c>
      <c r="E1215" t="s">
        <v>294</v>
      </c>
    </row>
    <row r="1216" spans="1:5" x14ac:dyDescent="0.25">
      <c r="A1216" t="s">
        <v>284</v>
      </c>
      <c r="B1216" t="s">
        <v>16</v>
      </c>
      <c r="C1216" t="s">
        <v>4</v>
      </c>
      <c r="D1216" t="s">
        <v>233</v>
      </c>
      <c r="E1216" t="s">
        <v>298</v>
      </c>
    </row>
    <row r="1217" spans="1:5" x14ac:dyDescent="0.25">
      <c r="A1217" t="s">
        <v>284</v>
      </c>
      <c r="B1217" t="s">
        <v>16</v>
      </c>
      <c r="C1217" t="s">
        <v>5</v>
      </c>
      <c r="D1217" t="s">
        <v>233</v>
      </c>
      <c r="E1217" t="s">
        <v>303</v>
      </c>
    </row>
    <row r="1218" spans="1:5" x14ac:dyDescent="0.25">
      <c r="A1218" t="s">
        <v>284</v>
      </c>
      <c r="B1218" t="s">
        <v>288</v>
      </c>
      <c r="C1218" t="s">
        <v>18</v>
      </c>
      <c r="D1218" t="s">
        <v>233</v>
      </c>
      <c r="E1218" t="s">
        <v>308</v>
      </c>
    </row>
    <row r="1219" spans="1:5" x14ac:dyDescent="0.25">
      <c r="A1219" t="s">
        <v>284</v>
      </c>
      <c r="B1219" t="s">
        <v>288</v>
      </c>
      <c r="C1219" t="s">
        <v>4</v>
      </c>
      <c r="D1219" t="s">
        <v>233</v>
      </c>
      <c r="E1219" t="s">
        <v>312</v>
      </c>
    </row>
    <row r="1220" spans="1:5" x14ac:dyDescent="0.25">
      <c r="A1220" t="s">
        <v>284</v>
      </c>
      <c r="B1220" t="s">
        <v>288</v>
      </c>
      <c r="C1220" t="s">
        <v>5</v>
      </c>
      <c r="D1220" t="s">
        <v>233</v>
      </c>
      <c r="E1220" t="s">
        <v>317</v>
      </c>
    </row>
    <row r="1221" spans="1:5" x14ac:dyDescent="0.25">
      <c r="A1221" t="s">
        <v>284</v>
      </c>
      <c r="B1221" t="s">
        <v>285</v>
      </c>
      <c r="C1221" t="s">
        <v>4</v>
      </c>
      <c r="D1221" t="s">
        <v>233</v>
      </c>
      <c r="E1221" t="s">
        <v>322</v>
      </c>
    </row>
    <row r="1222" spans="1:5" x14ac:dyDescent="0.25">
      <c r="A1222" t="s">
        <v>284</v>
      </c>
      <c r="B1222" t="s">
        <v>285</v>
      </c>
      <c r="C1222" t="s">
        <v>5</v>
      </c>
      <c r="D1222" t="s">
        <v>233</v>
      </c>
      <c r="E1222" t="s">
        <v>327</v>
      </c>
    </row>
    <row r="1223" spans="1:5" x14ac:dyDescent="0.25">
      <c r="A1223" t="s">
        <v>284</v>
      </c>
      <c r="B1223" t="s">
        <v>16</v>
      </c>
      <c r="C1223" t="s">
        <v>4</v>
      </c>
      <c r="D1223" t="s">
        <v>239</v>
      </c>
      <c r="E1223" t="s">
        <v>299</v>
      </c>
    </row>
    <row r="1224" spans="1:5" x14ac:dyDescent="0.25">
      <c r="A1224" t="s">
        <v>284</v>
      </c>
      <c r="B1224" t="s">
        <v>16</v>
      </c>
      <c r="C1224" t="s">
        <v>5</v>
      </c>
      <c r="D1224" t="s">
        <v>239</v>
      </c>
      <c r="E1224" t="s">
        <v>304</v>
      </c>
    </row>
    <row r="1225" spans="1:5" x14ac:dyDescent="0.25">
      <c r="A1225" t="s">
        <v>284</v>
      </c>
      <c r="B1225" t="s">
        <v>288</v>
      </c>
      <c r="C1225" t="s">
        <v>4</v>
      </c>
      <c r="D1225" t="s">
        <v>239</v>
      </c>
      <c r="E1225" t="s">
        <v>313</v>
      </c>
    </row>
    <row r="1226" spans="1:5" x14ac:dyDescent="0.25">
      <c r="A1226" t="s">
        <v>284</v>
      </c>
      <c r="B1226" t="s">
        <v>288</v>
      </c>
      <c r="C1226" t="s">
        <v>5</v>
      </c>
      <c r="D1226" t="s">
        <v>239</v>
      </c>
      <c r="E1226" t="s">
        <v>318</v>
      </c>
    </row>
    <row r="1227" spans="1:5" x14ac:dyDescent="0.25">
      <c r="A1227" t="s">
        <v>284</v>
      </c>
      <c r="B1227" t="s">
        <v>285</v>
      </c>
      <c r="C1227" t="s">
        <v>4</v>
      </c>
      <c r="D1227" t="s">
        <v>239</v>
      </c>
      <c r="E1227" t="s">
        <v>323</v>
      </c>
    </row>
    <row r="1228" spans="1:5" x14ac:dyDescent="0.25">
      <c r="A1228" t="s">
        <v>284</v>
      </c>
      <c r="B1228" t="s">
        <v>285</v>
      </c>
      <c r="C1228" t="s">
        <v>5</v>
      </c>
      <c r="D1228" t="s">
        <v>239</v>
      </c>
      <c r="E1228" t="s">
        <v>328</v>
      </c>
    </row>
    <row r="1229" spans="1:5" x14ac:dyDescent="0.25">
      <c r="A1229" t="s">
        <v>284</v>
      </c>
      <c r="B1229" t="s">
        <v>16</v>
      </c>
      <c r="C1229" t="s">
        <v>4</v>
      </c>
      <c r="D1229" t="s">
        <v>6</v>
      </c>
      <c r="E1229">
        <v>11615</v>
      </c>
    </row>
    <row r="1230" spans="1:5" x14ac:dyDescent="0.25">
      <c r="A1230" t="s">
        <v>284</v>
      </c>
      <c r="B1230" t="s">
        <v>16</v>
      </c>
      <c r="C1230" t="s">
        <v>18</v>
      </c>
      <c r="D1230" t="s">
        <v>6</v>
      </c>
      <c r="E1230">
        <v>448</v>
      </c>
    </row>
    <row r="1231" spans="1:5" x14ac:dyDescent="0.25">
      <c r="A1231" t="s">
        <v>284</v>
      </c>
      <c r="B1231" t="s">
        <v>16</v>
      </c>
      <c r="C1231" t="s">
        <v>5</v>
      </c>
      <c r="D1231" t="s">
        <v>6</v>
      </c>
      <c r="E1231">
        <v>3286</v>
      </c>
    </row>
    <row r="1232" spans="1:5" x14ac:dyDescent="0.25">
      <c r="A1232" t="s">
        <v>284</v>
      </c>
      <c r="B1232" t="s">
        <v>285</v>
      </c>
      <c r="C1232" t="s">
        <v>4</v>
      </c>
      <c r="D1232" t="s">
        <v>6</v>
      </c>
      <c r="E1232">
        <v>0</v>
      </c>
    </row>
    <row r="1233" spans="1:5" x14ac:dyDescent="0.25">
      <c r="A1233" t="s">
        <v>284</v>
      </c>
      <c r="B1233" t="s">
        <v>285</v>
      </c>
      <c r="C1233" t="s">
        <v>5</v>
      </c>
      <c r="D1233" t="s">
        <v>6</v>
      </c>
      <c r="E1233">
        <v>2968</v>
      </c>
    </row>
    <row r="1234" spans="1:5" x14ac:dyDescent="0.25">
      <c r="A1234" t="s">
        <v>284</v>
      </c>
      <c r="B1234" t="s">
        <v>288</v>
      </c>
      <c r="C1234" t="s">
        <v>4</v>
      </c>
      <c r="D1234" t="s">
        <v>6</v>
      </c>
      <c r="E1234">
        <v>11776</v>
      </c>
    </row>
    <row r="1235" spans="1:5" x14ac:dyDescent="0.25">
      <c r="A1235" t="s">
        <v>284</v>
      </c>
      <c r="B1235" t="s">
        <v>288</v>
      </c>
      <c r="C1235" t="s">
        <v>18</v>
      </c>
      <c r="D1235" t="s">
        <v>6</v>
      </c>
      <c r="E1235">
        <v>907</v>
      </c>
    </row>
    <row r="1236" spans="1:5" x14ac:dyDescent="0.25">
      <c r="A1236" t="s">
        <v>284</v>
      </c>
      <c r="B1236" t="s">
        <v>288</v>
      </c>
      <c r="C1236" t="s">
        <v>5</v>
      </c>
      <c r="D1236" t="s">
        <v>6</v>
      </c>
      <c r="E1236">
        <v>3169</v>
      </c>
    </row>
    <row r="1237" spans="1:5" x14ac:dyDescent="0.25">
      <c r="A1237" t="s">
        <v>284</v>
      </c>
      <c r="B1237" t="s">
        <v>16</v>
      </c>
      <c r="C1237" t="s">
        <v>4</v>
      </c>
      <c r="D1237" t="s">
        <v>17</v>
      </c>
      <c r="E1237">
        <v>797</v>
      </c>
    </row>
    <row r="1238" spans="1:5" x14ac:dyDescent="0.25">
      <c r="A1238" t="s">
        <v>284</v>
      </c>
      <c r="B1238" t="s">
        <v>16</v>
      </c>
      <c r="C1238" t="s">
        <v>18</v>
      </c>
      <c r="D1238" t="s">
        <v>17</v>
      </c>
      <c r="E1238">
        <v>13</v>
      </c>
    </row>
    <row r="1239" spans="1:5" x14ac:dyDescent="0.25">
      <c r="A1239" t="s">
        <v>284</v>
      </c>
      <c r="B1239" t="s">
        <v>16</v>
      </c>
      <c r="C1239" t="s">
        <v>5</v>
      </c>
      <c r="D1239" t="s">
        <v>17</v>
      </c>
      <c r="E1239">
        <v>85</v>
      </c>
    </row>
    <row r="1240" spans="1:5" x14ac:dyDescent="0.25">
      <c r="A1240" t="s">
        <v>284</v>
      </c>
      <c r="B1240" t="s">
        <v>285</v>
      </c>
      <c r="C1240" t="s">
        <v>4</v>
      </c>
      <c r="D1240" t="s">
        <v>17</v>
      </c>
      <c r="E1240">
        <v>37</v>
      </c>
    </row>
    <row r="1241" spans="1:5" x14ac:dyDescent="0.25">
      <c r="A1241" t="s">
        <v>284</v>
      </c>
      <c r="B1241" t="s">
        <v>285</v>
      </c>
      <c r="C1241" t="s">
        <v>5</v>
      </c>
      <c r="D1241" t="s">
        <v>17</v>
      </c>
      <c r="E1241">
        <v>5</v>
      </c>
    </row>
    <row r="1242" spans="1:5" x14ac:dyDescent="0.25">
      <c r="A1242" t="s">
        <v>284</v>
      </c>
      <c r="B1242" t="s">
        <v>288</v>
      </c>
      <c r="C1242" t="s">
        <v>4</v>
      </c>
      <c r="D1242" t="s">
        <v>17</v>
      </c>
      <c r="E1242">
        <v>123</v>
      </c>
    </row>
    <row r="1243" spans="1:5" x14ac:dyDescent="0.25">
      <c r="A1243" t="s">
        <v>284</v>
      </c>
      <c r="B1243" t="s">
        <v>288</v>
      </c>
      <c r="C1243" t="s">
        <v>18</v>
      </c>
      <c r="D1243" t="s">
        <v>17</v>
      </c>
      <c r="E1243">
        <v>11</v>
      </c>
    </row>
    <row r="1244" spans="1:5" x14ac:dyDescent="0.25">
      <c r="A1244" t="s">
        <v>284</v>
      </c>
      <c r="B1244" t="s">
        <v>288</v>
      </c>
      <c r="C1244" t="s">
        <v>5</v>
      </c>
      <c r="D1244" t="s">
        <v>17</v>
      </c>
      <c r="E1244">
        <v>22</v>
      </c>
    </row>
    <row r="1245" spans="1:5" x14ac:dyDescent="0.25">
      <c r="A1245" t="s">
        <v>284</v>
      </c>
      <c r="B1245" t="s">
        <v>16</v>
      </c>
      <c r="C1245" t="s">
        <v>4</v>
      </c>
      <c r="D1245" t="s">
        <v>29</v>
      </c>
      <c r="E1245" t="s">
        <v>329</v>
      </c>
    </row>
    <row r="1246" spans="1:5" x14ac:dyDescent="0.25">
      <c r="A1246" t="s">
        <v>284</v>
      </c>
      <c r="B1246" t="s">
        <v>285</v>
      </c>
      <c r="C1246" t="s">
        <v>4</v>
      </c>
      <c r="D1246" t="s">
        <v>29</v>
      </c>
      <c r="E1246" t="s">
        <v>330</v>
      </c>
    </row>
    <row r="1247" spans="1:5" x14ac:dyDescent="0.25">
      <c r="A1247" t="s">
        <v>284</v>
      </c>
      <c r="B1247" t="s">
        <v>288</v>
      </c>
      <c r="C1247" t="s">
        <v>4</v>
      </c>
      <c r="D1247" t="s">
        <v>29</v>
      </c>
      <c r="E1247" t="s">
        <v>331</v>
      </c>
    </row>
    <row r="1248" spans="1:5" x14ac:dyDescent="0.25">
      <c r="A1248" t="s">
        <v>284</v>
      </c>
      <c r="B1248" t="s">
        <v>16</v>
      </c>
      <c r="C1248" t="s">
        <v>4</v>
      </c>
      <c r="D1248" t="s">
        <v>31</v>
      </c>
      <c r="E1248" t="s">
        <v>332</v>
      </c>
    </row>
    <row r="1249" spans="1:5" x14ac:dyDescent="0.25">
      <c r="A1249" t="s">
        <v>284</v>
      </c>
      <c r="B1249" t="s">
        <v>16</v>
      </c>
      <c r="C1249" t="s">
        <v>5</v>
      </c>
      <c r="D1249" t="s">
        <v>31</v>
      </c>
      <c r="E1249" t="s">
        <v>275</v>
      </c>
    </row>
    <row r="1250" spans="1:5" x14ac:dyDescent="0.25">
      <c r="A1250" t="s">
        <v>284</v>
      </c>
      <c r="B1250" t="s">
        <v>285</v>
      </c>
      <c r="C1250" t="s">
        <v>4</v>
      </c>
      <c r="D1250" t="s">
        <v>31</v>
      </c>
      <c r="E1250" t="s">
        <v>333</v>
      </c>
    </row>
    <row r="1251" spans="1:5" x14ac:dyDescent="0.25">
      <c r="A1251" t="s">
        <v>284</v>
      </c>
      <c r="B1251" t="s">
        <v>288</v>
      </c>
      <c r="C1251" t="s">
        <v>4</v>
      </c>
      <c r="D1251" t="s">
        <v>31</v>
      </c>
      <c r="E1251" t="s">
        <v>334</v>
      </c>
    </row>
    <row r="1252" spans="1:5" x14ac:dyDescent="0.25">
      <c r="A1252" t="s">
        <v>284</v>
      </c>
      <c r="B1252" t="s">
        <v>288</v>
      </c>
      <c r="C1252" t="s">
        <v>5</v>
      </c>
      <c r="D1252" t="s">
        <v>31</v>
      </c>
      <c r="E1252" t="s">
        <v>335</v>
      </c>
    </row>
    <row r="1253" spans="1:5" x14ac:dyDescent="0.25">
      <c r="A1253" t="s">
        <v>284</v>
      </c>
      <c r="B1253" t="s">
        <v>16</v>
      </c>
      <c r="C1253" t="s">
        <v>4</v>
      </c>
      <c r="D1253" t="s">
        <v>249</v>
      </c>
      <c r="E1253" t="s">
        <v>336</v>
      </c>
    </row>
    <row r="1254" spans="1:5" x14ac:dyDescent="0.25">
      <c r="A1254" t="s">
        <v>284</v>
      </c>
      <c r="B1254" t="s">
        <v>16</v>
      </c>
      <c r="C1254" t="s">
        <v>4</v>
      </c>
      <c r="D1254" t="s">
        <v>34</v>
      </c>
      <c r="E1254">
        <v>45292</v>
      </c>
    </row>
    <row r="1255" spans="1:5" x14ac:dyDescent="0.25">
      <c r="A1255" t="s">
        <v>284</v>
      </c>
      <c r="B1255" t="s">
        <v>16</v>
      </c>
      <c r="C1255" t="s">
        <v>18</v>
      </c>
      <c r="D1255" t="s">
        <v>34</v>
      </c>
      <c r="E1255" t="s">
        <v>337</v>
      </c>
    </row>
    <row r="1256" spans="1:5" x14ac:dyDescent="0.25">
      <c r="A1256" t="s">
        <v>284</v>
      </c>
      <c r="B1256" t="s">
        <v>16</v>
      </c>
      <c r="C1256" t="s">
        <v>5</v>
      </c>
      <c r="D1256" t="s">
        <v>34</v>
      </c>
      <c r="E1256" t="s">
        <v>158</v>
      </c>
    </row>
    <row r="1257" spans="1:5" x14ac:dyDescent="0.25">
      <c r="A1257" t="s">
        <v>284</v>
      </c>
      <c r="B1257" t="s">
        <v>288</v>
      </c>
      <c r="C1257" t="s">
        <v>4</v>
      </c>
      <c r="D1257" t="s">
        <v>34</v>
      </c>
      <c r="E1257" t="s">
        <v>338</v>
      </c>
    </row>
    <row r="1258" spans="1:5" x14ac:dyDescent="0.25">
      <c r="A1258" t="s">
        <v>284</v>
      </c>
      <c r="B1258" t="s">
        <v>288</v>
      </c>
      <c r="C1258" t="s">
        <v>18</v>
      </c>
      <c r="D1258" t="s">
        <v>34</v>
      </c>
      <c r="E1258" t="s">
        <v>339</v>
      </c>
    </row>
    <row r="1259" spans="1:5" x14ac:dyDescent="0.25">
      <c r="A1259" t="s">
        <v>284</v>
      </c>
      <c r="B1259" t="s">
        <v>288</v>
      </c>
      <c r="C1259" t="s">
        <v>5</v>
      </c>
      <c r="D1259" t="s">
        <v>34</v>
      </c>
      <c r="E1259" t="s">
        <v>340</v>
      </c>
    </row>
    <row r="1260" spans="1:5" x14ac:dyDescent="0.25">
      <c r="A1260" t="s">
        <v>284</v>
      </c>
      <c r="B1260" t="s">
        <v>16</v>
      </c>
      <c r="C1260" t="s">
        <v>4</v>
      </c>
      <c r="D1260" t="s">
        <v>38</v>
      </c>
      <c r="E1260" t="s">
        <v>341</v>
      </c>
    </row>
    <row r="1261" spans="1:5" x14ac:dyDescent="0.25">
      <c r="A1261" t="s">
        <v>284</v>
      </c>
      <c r="B1261" t="s">
        <v>16</v>
      </c>
      <c r="C1261" t="s">
        <v>18</v>
      </c>
      <c r="D1261" t="s">
        <v>38</v>
      </c>
      <c r="E1261" t="s">
        <v>342</v>
      </c>
    </row>
    <row r="1262" spans="1:5" x14ac:dyDescent="0.25">
      <c r="A1262" t="s">
        <v>284</v>
      </c>
      <c r="B1262" t="s">
        <v>16</v>
      </c>
      <c r="C1262" t="s">
        <v>5</v>
      </c>
      <c r="D1262" t="s">
        <v>38</v>
      </c>
      <c r="E1262" t="s">
        <v>343</v>
      </c>
    </row>
    <row r="1263" spans="1:5" x14ac:dyDescent="0.25">
      <c r="A1263" t="s">
        <v>284</v>
      </c>
      <c r="B1263" t="s">
        <v>285</v>
      </c>
      <c r="C1263" t="s">
        <v>4</v>
      </c>
      <c r="D1263" t="s">
        <v>38</v>
      </c>
      <c r="E1263" t="s">
        <v>344</v>
      </c>
    </row>
    <row r="1264" spans="1:5" x14ac:dyDescent="0.25">
      <c r="A1264" t="s">
        <v>284</v>
      </c>
      <c r="B1264" t="s">
        <v>285</v>
      </c>
      <c r="C1264" t="s">
        <v>5</v>
      </c>
      <c r="D1264" t="s">
        <v>38</v>
      </c>
      <c r="E1264" t="s">
        <v>345</v>
      </c>
    </row>
    <row r="1265" spans="1:5" x14ac:dyDescent="0.25">
      <c r="A1265" t="s">
        <v>284</v>
      </c>
      <c r="B1265" t="s">
        <v>288</v>
      </c>
      <c r="C1265" t="s">
        <v>4</v>
      </c>
      <c r="D1265" t="s">
        <v>38</v>
      </c>
      <c r="E1265" t="s">
        <v>346</v>
      </c>
    </row>
    <row r="1266" spans="1:5" x14ac:dyDescent="0.25">
      <c r="A1266" t="s">
        <v>284</v>
      </c>
      <c r="B1266" t="s">
        <v>288</v>
      </c>
      <c r="C1266" t="s">
        <v>18</v>
      </c>
      <c r="D1266" t="s">
        <v>38</v>
      </c>
      <c r="E1266" t="s">
        <v>347</v>
      </c>
    </row>
    <row r="1267" spans="1:5" x14ac:dyDescent="0.25">
      <c r="A1267" t="s">
        <v>284</v>
      </c>
      <c r="B1267" t="s">
        <v>288</v>
      </c>
      <c r="C1267" t="s">
        <v>5</v>
      </c>
      <c r="D1267" t="s">
        <v>38</v>
      </c>
      <c r="E1267" t="s">
        <v>348</v>
      </c>
    </row>
    <row r="1268" spans="1:5" x14ac:dyDescent="0.25">
      <c r="A1268" t="s">
        <v>284</v>
      </c>
      <c r="B1268" t="s">
        <v>16</v>
      </c>
      <c r="C1268" t="s">
        <v>4</v>
      </c>
      <c r="D1268" t="s">
        <v>20</v>
      </c>
      <c r="E1268">
        <v>5835</v>
      </c>
    </row>
    <row r="1269" spans="1:5" x14ac:dyDescent="0.25">
      <c r="A1269" t="s">
        <v>284</v>
      </c>
      <c r="B1269" t="s">
        <v>16</v>
      </c>
      <c r="C1269" t="s">
        <v>18</v>
      </c>
      <c r="D1269" t="s">
        <v>20</v>
      </c>
      <c r="E1269">
        <v>528</v>
      </c>
    </row>
    <row r="1270" spans="1:5" x14ac:dyDescent="0.25">
      <c r="A1270" t="s">
        <v>284</v>
      </c>
      <c r="B1270" t="s">
        <v>16</v>
      </c>
      <c r="C1270" t="s">
        <v>5</v>
      </c>
      <c r="D1270" t="s">
        <v>20</v>
      </c>
      <c r="E1270">
        <v>1940</v>
      </c>
    </row>
    <row r="1271" spans="1:5" x14ac:dyDescent="0.25">
      <c r="A1271" t="s">
        <v>284</v>
      </c>
      <c r="B1271" t="s">
        <v>285</v>
      </c>
      <c r="C1271" t="s">
        <v>4</v>
      </c>
      <c r="D1271" t="s">
        <v>20</v>
      </c>
      <c r="E1271">
        <v>3310</v>
      </c>
    </row>
    <row r="1272" spans="1:5" x14ac:dyDescent="0.25">
      <c r="A1272" t="s">
        <v>284</v>
      </c>
      <c r="B1272" t="s">
        <v>285</v>
      </c>
      <c r="C1272" t="s">
        <v>5</v>
      </c>
      <c r="D1272" t="s">
        <v>20</v>
      </c>
      <c r="E1272">
        <v>2223</v>
      </c>
    </row>
    <row r="1273" spans="1:5" x14ac:dyDescent="0.25">
      <c r="A1273" t="s">
        <v>284</v>
      </c>
      <c r="B1273" t="s">
        <v>288</v>
      </c>
      <c r="C1273" t="s">
        <v>4</v>
      </c>
      <c r="D1273" t="s">
        <v>20</v>
      </c>
      <c r="E1273">
        <v>3496</v>
      </c>
    </row>
    <row r="1274" spans="1:5" x14ac:dyDescent="0.25">
      <c r="A1274" t="s">
        <v>284</v>
      </c>
      <c r="B1274" t="s">
        <v>288</v>
      </c>
      <c r="C1274" t="s">
        <v>18</v>
      </c>
      <c r="D1274" t="s">
        <v>20</v>
      </c>
      <c r="E1274">
        <v>193</v>
      </c>
    </row>
    <row r="1275" spans="1:5" x14ac:dyDescent="0.25">
      <c r="A1275" t="s">
        <v>284</v>
      </c>
      <c r="B1275" t="s">
        <v>288</v>
      </c>
      <c r="C1275" t="s">
        <v>5</v>
      </c>
      <c r="D1275" t="s">
        <v>20</v>
      </c>
      <c r="E1275">
        <v>1329</v>
      </c>
    </row>
    <row r="1276" spans="1:5" x14ac:dyDescent="0.25">
      <c r="A1276" t="s">
        <v>284</v>
      </c>
      <c r="B1276" t="s">
        <v>16</v>
      </c>
      <c r="C1276" t="s">
        <v>4</v>
      </c>
      <c r="D1276" t="s">
        <v>42</v>
      </c>
      <c r="E1276">
        <v>194</v>
      </c>
    </row>
    <row r="1277" spans="1:5" x14ac:dyDescent="0.25">
      <c r="A1277" t="s">
        <v>284</v>
      </c>
      <c r="B1277" t="s">
        <v>285</v>
      </c>
      <c r="C1277" t="s">
        <v>4</v>
      </c>
      <c r="D1277" t="s">
        <v>42</v>
      </c>
      <c r="E1277">
        <v>165</v>
      </c>
    </row>
    <row r="1278" spans="1:5" x14ac:dyDescent="0.25">
      <c r="A1278" t="s">
        <v>284</v>
      </c>
      <c r="B1278" t="s">
        <v>288</v>
      </c>
      <c r="C1278" t="s">
        <v>4</v>
      </c>
      <c r="D1278" t="s">
        <v>42</v>
      </c>
      <c r="E1278">
        <v>192</v>
      </c>
    </row>
    <row r="1279" spans="1:5" x14ac:dyDescent="0.25">
      <c r="A1279" t="s">
        <v>284</v>
      </c>
      <c r="B1279" t="s">
        <v>16</v>
      </c>
      <c r="C1279" t="s">
        <v>4</v>
      </c>
      <c r="D1279" t="s">
        <v>43</v>
      </c>
      <c r="E1279">
        <v>1744</v>
      </c>
    </row>
    <row r="1280" spans="1:5" x14ac:dyDescent="0.25">
      <c r="A1280" t="s">
        <v>284</v>
      </c>
      <c r="B1280" t="s">
        <v>16</v>
      </c>
      <c r="C1280" t="s">
        <v>5</v>
      </c>
      <c r="D1280" t="s">
        <v>43</v>
      </c>
      <c r="E1280">
        <v>654</v>
      </c>
    </row>
    <row r="1281" spans="1:5" x14ac:dyDescent="0.25">
      <c r="A1281" t="s">
        <v>284</v>
      </c>
      <c r="B1281" t="s">
        <v>285</v>
      </c>
      <c r="C1281" t="s">
        <v>4</v>
      </c>
      <c r="D1281" t="s">
        <v>43</v>
      </c>
      <c r="E1281">
        <v>192</v>
      </c>
    </row>
    <row r="1282" spans="1:5" x14ac:dyDescent="0.25">
      <c r="A1282" t="s">
        <v>284</v>
      </c>
      <c r="B1282" t="s">
        <v>288</v>
      </c>
      <c r="C1282" t="s">
        <v>4</v>
      </c>
      <c r="D1282" t="s">
        <v>43</v>
      </c>
      <c r="E1282">
        <v>405</v>
      </c>
    </row>
    <row r="1283" spans="1:5" x14ac:dyDescent="0.25">
      <c r="A1283" t="s">
        <v>284</v>
      </c>
      <c r="B1283" t="s">
        <v>288</v>
      </c>
      <c r="C1283" t="s">
        <v>18</v>
      </c>
      <c r="D1283" t="s">
        <v>43</v>
      </c>
      <c r="E1283">
        <v>40</v>
      </c>
    </row>
    <row r="1284" spans="1:5" x14ac:dyDescent="0.25">
      <c r="A1284" t="s">
        <v>284</v>
      </c>
      <c r="B1284" t="s">
        <v>288</v>
      </c>
      <c r="C1284" t="s">
        <v>5</v>
      </c>
      <c r="D1284" t="s">
        <v>43</v>
      </c>
      <c r="E1284">
        <v>339</v>
      </c>
    </row>
    <row r="1285" spans="1:5" x14ac:dyDescent="0.25">
      <c r="A1285" t="s">
        <v>284</v>
      </c>
      <c r="B1285" t="s">
        <v>16</v>
      </c>
      <c r="C1285" t="s">
        <v>4</v>
      </c>
      <c r="D1285" t="s">
        <v>44</v>
      </c>
      <c r="E1285">
        <v>3897</v>
      </c>
    </row>
    <row r="1286" spans="1:5" x14ac:dyDescent="0.25">
      <c r="A1286" t="s">
        <v>284</v>
      </c>
      <c r="B1286" t="s">
        <v>16</v>
      </c>
      <c r="C1286" t="s">
        <v>18</v>
      </c>
      <c r="D1286" t="s">
        <v>44</v>
      </c>
      <c r="E1286">
        <v>528</v>
      </c>
    </row>
    <row r="1287" spans="1:5" x14ac:dyDescent="0.25">
      <c r="A1287" t="s">
        <v>284</v>
      </c>
      <c r="B1287" t="s">
        <v>16</v>
      </c>
      <c r="C1287" t="s">
        <v>5</v>
      </c>
      <c r="D1287" t="s">
        <v>44</v>
      </c>
      <c r="E1287">
        <v>1286</v>
      </c>
    </row>
    <row r="1288" spans="1:5" x14ac:dyDescent="0.25">
      <c r="A1288" t="s">
        <v>284</v>
      </c>
      <c r="B1288" t="s">
        <v>285</v>
      </c>
      <c r="C1288" t="s">
        <v>4</v>
      </c>
      <c r="D1288" t="s">
        <v>44</v>
      </c>
      <c r="E1288">
        <v>2953</v>
      </c>
    </row>
    <row r="1289" spans="1:5" x14ac:dyDescent="0.25">
      <c r="A1289" t="s">
        <v>284</v>
      </c>
      <c r="B1289" t="s">
        <v>285</v>
      </c>
      <c r="C1289" t="s">
        <v>5</v>
      </c>
      <c r="D1289" t="s">
        <v>44</v>
      </c>
      <c r="E1289">
        <v>2223</v>
      </c>
    </row>
    <row r="1290" spans="1:5" x14ac:dyDescent="0.25">
      <c r="A1290" t="s">
        <v>284</v>
      </c>
      <c r="B1290" t="s">
        <v>288</v>
      </c>
      <c r="C1290" t="s">
        <v>4</v>
      </c>
      <c r="D1290" t="s">
        <v>44</v>
      </c>
      <c r="E1290">
        <v>2899</v>
      </c>
    </row>
    <row r="1291" spans="1:5" x14ac:dyDescent="0.25">
      <c r="A1291" t="s">
        <v>284</v>
      </c>
      <c r="B1291" t="s">
        <v>288</v>
      </c>
      <c r="C1291" t="s">
        <v>18</v>
      </c>
      <c r="D1291" t="s">
        <v>44</v>
      </c>
      <c r="E1291">
        <v>153</v>
      </c>
    </row>
    <row r="1292" spans="1:5" x14ac:dyDescent="0.25">
      <c r="A1292" t="s">
        <v>284</v>
      </c>
      <c r="B1292" t="s">
        <v>288</v>
      </c>
      <c r="C1292" t="s">
        <v>5</v>
      </c>
      <c r="D1292" t="s">
        <v>44</v>
      </c>
      <c r="E1292">
        <v>990</v>
      </c>
    </row>
    <row r="1293" spans="1:5" x14ac:dyDescent="0.25">
      <c r="A1293" t="s">
        <v>284</v>
      </c>
      <c r="B1293" t="s">
        <v>16</v>
      </c>
      <c r="C1293" t="s">
        <v>4</v>
      </c>
      <c r="D1293" t="s">
        <v>21</v>
      </c>
      <c r="E1293">
        <v>0.90269682100000004</v>
      </c>
    </row>
    <row r="1294" spans="1:5" x14ac:dyDescent="0.25">
      <c r="A1294" t="s">
        <v>284</v>
      </c>
      <c r="B1294" t="s">
        <v>16</v>
      </c>
      <c r="C1294" t="s">
        <v>18</v>
      </c>
      <c r="D1294" t="s">
        <v>21</v>
      </c>
      <c r="E1294">
        <v>0.49557522100000001</v>
      </c>
    </row>
    <row r="1295" spans="1:5" x14ac:dyDescent="0.25">
      <c r="A1295" t="s">
        <v>284</v>
      </c>
      <c r="B1295" t="s">
        <v>16</v>
      </c>
      <c r="C1295" t="s">
        <v>5</v>
      </c>
      <c r="D1295" t="s">
        <v>21</v>
      </c>
      <c r="E1295">
        <v>0.92459200900000005</v>
      </c>
    </row>
    <row r="1296" spans="1:5" x14ac:dyDescent="0.25">
      <c r="A1296" t="s">
        <v>284</v>
      </c>
      <c r="B1296" t="s">
        <v>285</v>
      </c>
      <c r="C1296" t="s">
        <v>4</v>
      </c>
      <c r="D1296" t="s">
        <v>21</v>
      </c>
      <c r="E1296">
        <v>0</v>
      </c>
    </row>
    <row r="1297" spans="1:5" x14ac:dyDescent="0.25">
      <c r="A1297" t="s">
        <v>284</v>
      </c>
      <c r="B1297" t="s">
        <v>285</v>
      </c>
      <c r="C1297" t="s">
        <v>5</v>
      </c>
      <c r="D1297" t="s">
        <v>21</v>
      </c>
      <c r="E1297">
        <v>0.90405117270788915</v>
      </c>
    </row>
    <row r="1298" spans="1:5" x14ac:dyDescent="0.25">
      <c r="A1298" t="s">
        <v>284</v>
      </c>
      <c r="B1298" t="s">
        <v>288</v>
      </c>
      <c r="C1298" t="s">
        <v>4</v>
      </c>
      <c r="D1298" t="s">
        <v>21</v>
      </c>
      <c r="E1298">
        <v>0.92237800579619333</v>
      </c>
    </row>
    <row r="1299" spans="1:5" x14ac:dyDescent="0.25">
      <c r="A1299" t="s">
        <v>284</v>
      </c>
      <c r="B1299" t="s">
        <v>288</v>
      </c>
      <c r="C1299" t="s">
        <v>18</v>
      </c>
      <c r="D1299" t="s">
        <v>21</v>
      </c>
      <c r="E1299">
        <v>0.97948164146868255</v>
      </c>
    </row>
    <row r="1300" spans="1:5" x14ac:dyDescent="0.25">
      <c r="A1300" t="s">
        <v>284</v>
      </c>
      <c r="B1300" t="s">
        <v>288</v>
      </c>
      <c r="C1300" t="s">
        <v>5</v>
      </c>
      <c r="D1300" t="s">
        <v>21</v>
      </c>
      <c r="E1300">
        <v>0.93701951507983439</v>
      </c>
    </row>
    <row r="1301" spans="1:5" x14ac:dyDescent="0.25">
      <c r="A1301" t="s">
        <v>284</v>
      </c>
      <c r="B1301" t="s">
        <v>16</v>
      </c>
      <c r="C1301" t="s">
        <v>4</v>
      </c>
      <c r="D1301" t="s">
        <v>22</v>
      </c>
      <c r="E1301">
        <v>6.0588856000000003E-2</v>
      </c>
    </row>
    <row r="1302" spans="1:5" x14ac:dyDescent="0.25">
      <c r="A1302" t="s">
        <v>284</v>
      </c>
      <c r="B1302" t="s">
        <v>16</v>
      </c>
      <c r="C1302" t="s">
        <v>18</v>
      </c>
      <c r="D1302" t="s">
        <v>22</v>
      </c>
      <c r="E1302">
        <v>0.110705596</v>
      </c>
    </row>
    <row r="1303" spans="1:5" x14ac:dyDescent="0.25">
      <c r="A1303" t="s">
        <v>284</v>
      </c>
      <c r="B1303" t="s">
        <v>16</v>
      </c>
      <c r="C1303" t="s">
        <v>5</v>
      </c>
      <c r="D1303" t="s">
        <v>22</v>
      </c>
      <c r="E1303">
        <v>4.5838752000000003E-2</v>
      </c>
    </row>
    <row r="1304" spans="1:5" x14ac:dyDescent="0.25">
      <c r="A1304" t="s">
        <v>284</v>
      </c>
      <c r="B1304" t="s">
        <v>285</v>
      </c>
      <c r="C1304" t="s">
        <v>4</v>
      </c>
      <c r="D1304" t="s">
        <v>22</v>
      </c>
      <c r="E1304">
        <v>9.0191897654584227E-2</v>
      </c>
    </row>
    <row r="1305" spans="1:5" x14ac:dyDescent="0.25">
      <c r="A1305" t="s">
        <v>284</v>
      </c>
      <c r="B1305" t="s">
        <v>285</v>
      </c>
      <c r="C1305" t="s">
        <v>5</v>
      </c>
      <c r="D1305" t="s">
        <v>22</v>
      </c>
      <c r="E1305">
        <v>0.16235150776728602</v>
      </c>
    </row>
    <row r="1306" spans="1:5" x14ac:dyDescent="0.25">
      <c r="A1306" t="s">
        <v>284</v>
      </c>
      <c r="B1306" t="s">
        <v>288</v>
      </c>
      <c r="C1306" t="s">
        <v>4</v>
      </c>
      <c r="D1306" t="s">
        <v>22</v>
      </c>
      <c r="E1306">
        <v>5.0170482221139789E-2</v>
      </c>
    </row>
    <row r="1307" spans="1:5" x14ac:dyDescent="0.25">
      <c r="A1307" t="s">
        <v>284</v>
      </c>
      <c r="B1307" t="s">
        <v>288</v>
      </c>
      <c r="C1307" t="s">
        <v>18</v>
      </c>
      <c r="D1307" t="s">
        <v>22</v>
      </c>
      <c r="E1307">
        <v>4.2189281641961229E-2</v>
      </c>
    </row>
    <row r="1308" spans="1:5" x14ac:dyDescent="0.25">
      <c r="A1308" t="s">
        <v>284</v>
      </c>
      <c r="B1308" t="s">
        <v>288</v>
      </c>
      <c r="C1308" t="s">
        <v>5</v>
      </c>
      <c r="D1308" t="s">
        <v>22</v>
      </c>
      <c r="E1308">
        <v>9.7788850825288071E-2</v>
      </c>
    </row>
    <row r="1309" spans="1:5" x14ac:dyDescent="0.25">
      <c r="A1309" t="s">
        <v>284</v>
      </c>
      <c r="B1309" t="s">
        <v>16</v>
      </c>
      <c r="C1309" t="s">
        <v>4</v>
      </c>
      <c r="D1309" t="s">
        <v>23</v>
      </c>
      <c r="E1309">
        <v>0.24608646300000001</v>
      </c>
    </row>
    <row r="1310" spans="1:5" x14ac:dyDescent="0.25">
      <c r="A1310" t="s">
        <v>284</v>
      </c>
      <c r="B1310" t="s">
        <v>16</v>
      </c>
      <c r="C1310" t="s">
        <v>18</v>
      </c>
      <c r="D1310" t="s">
        <v>23</v>
      </c>
      <c r="E1310">
        <v>0.39902676399999998</v>
      </c>
    </row>
    <row r="1311" spans="1:5" x14ac:dyDescent="0.25">
      <c r="A1311" t="s">
        <v>284</v>
      </c>
      <c r="B1311" t="s">
        <v>16</v>
      </c>
      <c r="C1311" t="s">
        <v>5</v>
      </c>
      <c r="D1311" t="s">
        <v>23</v>
      </c>
      <c r="E1311">
        <v>0.29063719100000002</v>
      </c>
    </row>
    <row r="1312" spans="1:5" x14ac:dyDescent="0.25">
      <c r="A1312" t="s">
        <v>284</v>
      </c>
      <c r="B1312" t="s">
        <v>285</v>
      </c>
      <c r="C1312" t="s">
        <v>4</v>
      </c>
      <c r="D1312" t="s">
        <v>23</v>
      </c>
      <c r="E1312">
        <v>0.54157782515991471</v>
      </c>
    </row>
    <row r="1313" spans="1:5" x14ac:dyDescent="0.25">
      <c r="A1313" t="s">
        <v>284</v>
      </c>
      <c r="B1313" t="s">
        <v>285</v>
      </c>
      <c r="C1313" t="s">
        <v>5</v>
      </c>
      <c r="D1313" t="s">
        <v>23</v>
      </c>
      <c r="E1313">
        <v>0.31861102650015227</v>
      </c>
    </row>
    <row r="1314" spans="1:5" x14ac:dyDescent="0.25">
      <c r="A1314" t="s">
        <v>284</v>
      </c>
      <c r="B1314" t="s">
        <v>288</v>
      </c>
      <c r="C1314" t="s">
        <v>4</v>
      </c>
      <c r="D1314" t="s">
        <v>23</v>
      </c>
      <c r="E1314">
        <v>0.49496671537587272</v>
      </c>
    </row>
    <row r="1315" spans="1:5" x14ac:dyDescent="0.25">
      <c r="A1315" t="s">
        <v>284</v>
      </c>
      <c r="B1315" t="s">
        <v>288</v>
      </c>
      <c r="C1315" t="s">
        <v>18</v>
      </c>
      <c r="D1315" t="s">
        <v>23</v>
      </c>
      <c r="E1315">
        <v>0.40478905359179018</v>
      </c>
    </row>
    <row r="1316" spans="1:5" x14ac:dyDescent="0.25">
      <c r="A1316" t="s">
        <v>284</v>
      </c>
      <c r="B1316" t="s">
        <v>288</v>
      </c>
      <c r="C1316" t="s">
        <v>5</v>
      </c>
      <c r="D1316" t="s">
        <v>23</v>
      </c>
      <c r="E1316">
        <v>0.28838368109623169</v>
      </c>
    </row>
    <row r="1317" spans="1:5" x14ac:dyDescent="0.25">
      <c r="A1317" t="s">
        <v>284</v>
      </c>
      <c r="B1317" t="s">
        <v>16</v>
      </c>
      <c r="C1317" t="s">
        <v>4</v>
      </c>
      <c r="D1317" t="s">
        <v>621</v>
      </c>
      <c r="E1317">
        <v>0.69332468199999997</v>
      </c>
    </row>
    <row r="1318" spans="1:5" x14ac:dyDescent="0.25">
      <c r="A1318" t="s">
        <v>284</v>
      </c>
      <c r="B1318" t="s">
        <v>16</v>
      </c>
      <c r="C1318" t="s">
        <v>18</v>
      </c>
      <c r="D1318" t="s">
        <v>621</v>
      </c>
      <c r="E1318">
        <v>0.49026764</v>
      </c>
    </row>
    <row r="1319" spans="1:5" x14ac:dyDescent="0.25">
      <c r="A1319" t="s">
        <v>284</v>
      </c>
      <c r="B1319" t="s">
        <v>16</v>
      </c>
      <c r="C1319" t="s">
        <v>5</v>
      </c>
      <c r="D1319" t="s">
        <v>621</v>
      </c>
      <c r="E1319">
        <v>0.66352405699999994</v>
      </c>
    </row>
    <row r="1320" spans="1:5" x14ac:dyDescent="0.25">
      <c r="A1320" t="s">
        <v>284</v>
      </c>
      <c r="B1320" t="s">
        <v>285</v>
      </c>
      <c r="C1320" t="s">
        <v>4</v>
      </c>
      <c r="D1320" t="s">
        <v>621</v>
      </c>
      <c r="E1320">
        <v>0.36823027718550105</v>
      </c>
    </row>
    <row r="1321" spans="1:5" x14ac:dyDescent="0.25">
      <c r="A1321" t="s">
        <v>284</v>
      </c>
      <c r="B1321" t="s">
        <v>285</v>
      </c>
      <c r="C1321" t="s">
        <v>5</v>
      </c>
      <c r="D1321" t="s">
        <v>621</v>
      </c>
      <c r="E1321">
        <v>0.51903746573256171</v>
      </c>
    </row>
    <row r="1322" spans="1:5" x14ac:dyDescent="0.25">
      <c r="A1322" t="s">
        <v>284</v>
      </c>
      <c r="B1322" t="s">
        <v>288</v>
      </c>
      <c r="C1322" t="s">
        <v>4</v>
      </c>
      <c r="D1322" t="s">
        <v>621</v>
      </c>
      <c r="E1322">
        <v>0.45486280240298754</v>
      </c>
    </row>
    <row r="1323" spans="1:5" x14ac:dyDescent="0.25">
      <c r="A1323" t="s">
        <v>284</v>
      </c>
      <c r="B1323" t="s">
        <v>288</v>
      </c>
      <c r="C1323" t="s">
        <v>18</v>
      </c>
      <c r="D1323" t="s">
        <v>621</v>
      </c>
      <c r="E1323">
        <v>0.55302166476624859</v>
      </c>
    </row>
    <row r="1324" spans="1:5" x14ac:dyDescent="0.25">
      <c r="A1324" t="s">
        <v>284</v>
      </c>
      <c r="B1324" t="s">
        <v>288</v>
      </c>
      <c r="C1324" t="s">
        <v>5</v>
      </c>
      <c r="D1324" t="s">
        <v>621</v>
      </c>
      <c r="E1324">
        <v>0.61382746807848021</v>
      </c>
    </row>
    <row r="1325" spans="1:5" x14ac:dyDescent="0.25">
      <c r="A1325" t="s">
        <v>284</v>
      </c>
      <c r="B1325" t="s">
        <v>16</v>
      </c>
      <c r="C1325" t="s">
        <v>5</v>
      </c>
      <c r="D1325" t="s">
        <v>256</v>
      </c>
      <c r="E1325" t="s">
        <v>283</v>
      </c>
    </row>
    <row r="1326" spans="1:5" x14ac:dyDescent="0.25">
      <c r="A1326" t="s">
        <v>284</v>
      </c>
      <c r="B1326" t="s">
        <v>16</v>
      </c>
      <c r="C1326" t="s">
        <v>4</v>
      </c>
      <c r="D1326" t="s">
        <v>24</v>
      </c>
      <c r="E1326">
        <v>326.27</v>
      </c>
    </row>
    <row r="1327" spans="1:5" x14ac:dyDescent="0.25">
      <c r="A1327" t="s">
        <v>284</v>
      </c>
      <c r="B1327" t="s">
        <v>16</v>
      </c>
      <c r="C1327" t="s">
        <v>18</v>
      </c>
      <c r="D1327" t="s">
        <v>24</v>
      </c>
      <c r="E1327">
        <v>63.39</v>
      </c>
    </row>
    <row r="1328" spans="1:5" x14ac:dyDescent="0.25">
      <c r="A1328" t="s">
        <v>284</v>
      </c>
      <c r="B1328" t="s">
        <v>16</v>
      </c>
      <c r="C1328" t="s">
        <v>5</v>
      </c>
      <c r="D1328" t="s">
        <v>24</v>
      </c>
      <c r="E1328">
        <v>168.42</v>
      </c>
    </row>
    <row r="1329" spans="1:5" x14ac:dyDescent="0.25">
      <c r="A1329" t="s">
        <v>284</v>
      </c>
      <c r="B1329" t="s">
        <v>285</v>
      </c>
      <c r="C1329" t="s">
        <v>4</v>
      </c>
      <c r="D1329" t="s">
        <v>24</v>
      </c>
      <c r="E1329">
        <v>370.38999999999993</v>
      </c>
    </row>
    <row r="1330" spans="1:5" x14ac:dyDescent="0.25">
      <c r="A1330" t="s">
        <v>284</v>
      </c>
      <c r="B1330" t="s">
        <v>285</v>
      </c>
      <c r="C1330" t="s">
        <v>18</v>
      </c>
      <c r="D1330" t="s">
        <v>24</v>
      </c>
      <c r="E1330">
        <v>56.83</v>
      </c>
    </row>
    <row r="1331" spans="1:5" x14ac:dyDescent="0.25">
      <c r="A1331" t="s">
        <v>284</v>
      </c>
      <c r="B1331" t="s">
        <v>285</v>
      </c>
      <c r="C1331" t="s">
        <v>5</v>
      </c>
      <c r="D1331" t="s">
        <v>24</v>
      </c>
      <c r="E1331">
        <v>191.68000000000004</v>
      </c>
    </row>
    <row r="1332" spans="1:5" x14ac:dyDescent="0.25">
      <c r="A1332" t="s">
        <v>284</v>
      </c>
      <c r="B1332" t="s">
        <v>288</v>
      </c>
      <c r="C1332" t="s">
        <v>4</v>
      </c>
      <c r="D1332" t="s">
        <v>24</v>
      </c>
      <c r="E1332">
        <v>176.42999999999995</v>
      </c>
    </row>
    <row r="1333" spans="1:5" x14ac:dyDescent="0.25">
      <c r="A1333" t="s">
        <v>284</v>
      </c>
      <c r="B1333" t="s">
        <v>288</v>
      </c>
      <c r="C1333" t="s">
        <v>18</v>
      </c>
      <c r="D1333" t="s">
        <v>24</v>
      </c>
      <c r="E1333">
        <v>7.1899999999999995</v>
      </c>
    </row>
    <row r="1334" spans="1:5" x14ac:dyDescent="0.25">
      <c r="A1334" t="s">
        <v>284</v>
      </c>
      <c r="B1334" t="s">
        <v>288</v>
      </c>
      <c r="C1334" t="s">
        <v>5</v>
      </c>
      <c r="D1334" t="s">
        <v>24</v>
      </c>
      <c r="E1334">
        <v>70.149999999999991</v>
      </c>
    </row>
    <row r="1335" spans="1:5" x14ac:dyDescent="0.25">
      <c r="A1335" t="s">
        <v>284</v>
      </c>
      <c r="B1335" t="s">
        <v>16</v>
      </c>
      <c r="C1335" t="s">
        <v>19</v>
      </c>
      <c r="D1335" t="s">
        <v>45</v>
      </c>
      <c r="E1335">
        <v>1606960</v>
      </c>
    </row>
    <row r="1336" spans="1:5" x14ac:dyDescent="0.25">
      <c r="A1336" t="s">
        <v>284</v>
      </c>
      <c r="B1336" t="s">
        <v>285</v>
      </c>
      <c r="C1336" t="s">
        <v>19</v>
      </c>
      <c r="D1336" t="s">
        <v>45</v>
      </c>
      <c r="E1336">
        <v>1370176</v>
      </c>
    </row>
    <row r="1337" spans="1:5" x14ac:dyDescent="0.25">
      <c r="A1337" t="s">
        <v>284</v>
      </c>
      <c r="B1337" t="s">
        <v>288</v>
      </c>
      <c r="C1337" t="s">
        <v>19</v>
      </c>
      <c r="D1337" t="s">
        <v>45</v>
      </c>
      <c r="E1337">
        <v>1414253</v>
      </c>
    </row>
    <row r="1338" spans="1:5" x14ac:dyDescent="0.25">
      <c r="A1338" t="s">
        <v>284</v>
      </c>
      <c r="B1338" t="s">
        <v>16</v>
      </c>
      <c r="C1338" t="s">
        <v>19</v>
      </c>
      <c r="D1338" t="s">
        <v>46</v>
      </c>
      <c r="E1338">
        <v>31182</v>
      </c>
    </row>
    <row r="1339" spans="1:5" x14ac:dyDescent="0.25">
      <c r="A1339" t="s">
        <v>284</v>
      </c>
      <c r="B1339" t="s">
        <v>285</v>
      </c>
      <c r="C1339" t="s">
        <v>19</v>
      </c>
      <c r="D1339" t="s">
        <v>46</v>
      </c>
      <c r="E1339">
        <v>26307</v>
      </c>
    </row>
    <row r="1340" spans="1:5" x14ac:dyDescent="0.25">
      <c r="A1340" t="s">
        <v>284</v>
      </c>
      <c r="B1340" t="s">
        <v>288</v>
      </c>
      <c r="C1340" t="s">
        <v>19</v>
      </c>
      <c r="D1340" t="s">
        <v>46</v>
      </c>
      <c r="E1340">
        <v>28491</v>
      </c>
    </row>
    <row r="1341" spans="1:5" x14ac:dyDescent="0.25">
      <c r="A1341" t="s">
        <v>349</v>
      </c>
      <c r="B1341" t="s">
        <v>285</v>
      </c>
      <c r="C1341" t="s">
        <v>4</v>
      </c>
      <c r="D1341" t="s">
        <v>286</v>
      </c>
      <c r="E1341" t="s">
        <v>350</v>
      </c>
    </row>
    <row r="1342" spans="1:5" x14ac:dyDescent="0.25">
      <c r="A1342" t="s">
        <v>349</v>
      </c>
      <c r="B1342" t="s">
        <v>16</v>
      </c>
      <c r="C1342" t="s">
        <v>4</v>
      </c>
      <c r="D1342" t="s">
        <v>226</v>
      </c>
      <c r="E1342">
        <v>344909.48430000001</v>
      </c>
    </row>
    <row r="1343" spans="1:5" x14ac:dyDescent="0.25">
      <c r="A1343" t="s">
        <v>349</v>
      </c>
      <c r="B1343" t="s">
        <v>16</v>
      </c>
      <c r="C1343" t="s">
        <v>18</v>
      </c>
      <c r="D1343" t="s">
        <v>226</v>
      </c>
      <c r="E1343">
        <v>34384.75909</v>
      </c>
    </row>
    <row r="1344" spans="1:5" x14ac:dyDescent="0.25">
      <c r="A1344" t="s">
        <v>349</v>
      </c>
      <c r="B1344" t="s">
        <v>16</v>
      </c>
      <c r="C1344" t="s">
        <v>5</v>
      </c>
      <c r="D1344" t="s">
        <v>226</v>
      </c>
      <c r="E1344">
        <v>358917.99849999999</v>
      </c>
    </row>
    <row r="1345" spans="1:5" x14ac:dyDescent="0.25">
      <c r="A1345" t="s">
        <v>349</v>
      </c>
      <c r="B1345" t="s">
        <v>285</v>
      </c>
      <c r="C1345" t="s">
        <v>4</v>
      </c>
      <c r="D1345" t="s">
        <v>226</v>
      </c>
      <c r="E1345">
        <v>198366.83230000001</v>
      </c>
    </row>
    <row r="1346" spans="1:5" x14ac:dyDescent="0.25">
      <c r="A1346" t="s">
        <v>349</v>
      </c>
      <c r="B1346" t="s">
        <v>288</v>
      </c>
      <c r="C1346" t="s">
        <v>4</v>
      </c>
      <c r="D1346" t="s">
        <v>226</v>
      </c>
      <c r="E1346">
        <v>269378.9696969699</v>
      </c>
    </row>
    <row r="1347" spans="1:5" x14ac:dyDescent="0.25">
      <c r="A1347" t="s">
        <v>349</v>
      </c>
      <c r="B1347" t="s">
        <v>288</v>
      </c>
      <c r="C1347" t="s">
        <v>18</v>
      </c>
      <c r="D1347" t="s">
        <v>226</v>
      </c>
      <c r="E1347">
        <v>22336.166666666668</v>
      </c>
    </row>
    <row r="1348" spans="1:5" x14ac:dyDescent="0.25">
      <c r="A1348" t="s">
        <v>349</v>
      </c>
      <c r="B1348" t="s">
        <v>288</v>
      </c>
      <c r="C1348" t="s">
        <v>5</v>
      </c>
      <c r="D1348" t="s">
        <v>226</v>
      </c>
      <c r="E1348">
        <v>197094.51666666684</v>
      </c>
    </row>
    <row r="1349" spans="1:5" x14ac:dyDescent="0.25">
      <c r="A1349" t="s">
        <v>349</v>
      </c>
      <c r="B1349" t="s">
        <v>16</v>
      </c>
      <c r="C1349" t="s">
        <v>4</v>
      </c>
      <c r="D1349" t="s">
        <v>48</v>
      </c>
      <c r="E1349">
        <v>91591.406419999999</v>
      </c>
    </row>
    <row r="1350" spans="1:5" x14ac:dyDescent="0.25">
      <c r="A1350" t="s">
        <v>349</v>
      </c>
      <c r="B1350" t="s">
        <v>16</v>
      </c>
      <c r="C1350" t="s">
        <v>5</v>
      </c>
      <c r="D1350" t="s">
        <v>48</v>
      </c>
      <c r="E1350">
        <v>39560.1829</v>
      </c>
    </row>
    <row r="1351" spans="1:5" x14ac:dyDescent="0.25">
      <c r="A1351" t="s">
        <v>349</v>
      </c>
      <c r="B1351" t="s">
        <v>285</v>
      </c>
      <c r="C1351" t="s">
        <v>4</v>
      </c>
      <c r="D1351" t="s">
        <v>48</v>
      </c>
      <c r="E1351">
        <v>141412.2984</v>
      </c>
    </row>
    <row r="1352" spans="1:5" x14ac:dyDescent="0.25">
      <c r="A1352" t="s">
        <v>349</v>
      </c>
      <c r="B1352" t="s">
        <v>285</v>
      </c>
      <c r="C1352" t="s">
        <v>5</v>
      </c>
      <c r="D1352" t="s">
        <v>48</v>
      </c>
      <c r="E1352">
        <v>62645.03658</v>
      </c>
    </row>
    <row r="1353" spans="1:5" x14ac:dyDescent="0.25">
      <c r="A1353" t="s">
        <v>349</v>
      </c>
      <c r="B1353" t="s">
        <v>288</v>
      </c>
      <c r="C1353" t="s">
        <v>4</v>
      </c>
      <c r="D1353" t="s">
        <v>48</v>
      </c>
      <c r="E1353">
        <v>62730.429365079355</v>
      </c>
    </row>
    <row r="1354" spans="1:5" x14ac:dyDescent="0.25">
      <c r="A1354" t="s">
        <v>349</v>
      </c>
      <c r="B1354" t="s">
        <v>288</v>
      </c>
      <c r="C1354" t="s">
        <v>18</v>
      </c>
      <c r="D1354" t="s">
        <v>48</v>
      </c>
      <c r="E1354">
        <v>5822.8439393939407</v>
      </c>
    </row>
    <row r="1355" spans="1:5" x14ac:dyDescent="0.25">
      <c r="A1355" t="s">
        <v>349</v>
      </c>
      <c r="B1355" t="s">
        <v>285</v>
      </c>
      <c r="C1355" t="s">
        <v>4</v>
      </c>
      <c r="D1355" t="s">
        <v>289</v>
      </c>
      <c r="E1355">
        <v>295.66666670000001</v>
      </c>
    </row>
    <row r="1356" spans="1:5" x14ac:dyDescent="0.25">
      <c r="A1356" t="s">
        <v>349</v>
      </c>
      <c r="B1356" t="s">
        <v>16</v>
      </c>
      <c r="C1356" t="s">
        <v>4</v>
      </c>
      <c r="D1356" t="s">
        <v>227</v>
      </c>
      <c r="E1356">
        <v>99031.690440000006</v>
      </c>
    </row>
    <row r="1357" spans="1:5" x14ac:dyDescent="0.25">
      <c r="A1357" t="s">
        <v>349</v>
      </c>
      <c r="B1357" t="s">
        <v>16</v>
      </c>
      <c r="C1357" t="s">
        <v>18</v>
      </c>
      <c r="D1357" t="s">
        <v>227</v>
      </c>
      <c r="E1357">
        <v>15590.72652</v>
      </c>
    </row>
    <row r="1358" spans="1:5" x14ac:dyDescent="0.25">
      <c r="A1358" t="s">
        <v>349</v>
      </c>
      <c r="B1358" t="s">
        <v>16</v>
      </c>
      <c r="C1358" t="s">
        <v>5</v>
      </c>
      <c r="D1358" t="s">
        <v>227</v>
      </c>
      <c r="E1358">
        <v>41640.352780000001</v>
      </c>
    </row>
    <row r="1359" spans="1:5" x14ac:dyDescent="0.25">
      <c r="A1359" t="s">
        <v>349</v>
      </c>
      <c r="B1359" t="s">
        <v>285</v>
      </c>
      <c r="C1359" t="s">
        <v>4</v>
      </c>
      <c r="D1359" t="s">
        <v>227</v>
      </c>
      <c r="E1359">
        <v>108539.9284</v>
      </c>
    </row>
    <row r="1360" spans="1:5" x14ac:dyDescent="0.25">
      <c r="A1360" t="s">
        <v>349</v>
      </c>
      <c r="B1360" t="s">
        <v>285</v>
      </c>
      <c r="C1360" t="s">
        <v>5</v>
      </c>
      <c r="D1360" t="s">
        <v>227</v>
      </c>
      <c r="E1360">
        <v>55529.544950000003</v>
      </c>
    </row>
    <row r="1361" spans="1:5" x14ac:dyDescent="0.25">
      <c r="A1361" t="s">
        <v>349</v>
      </c>
      <c r="B1361" t="s">
        <v>288</v>
      </c>
      <c r="C1361" t="s">
        <v>4</v>
      </c>
      <c r="D1361" t="s">
        <v>227</v>
      </c>
      <c r="E1361">
        <v>100912.77002164496</v>
      </c>
    </row>
    <row r="1362" spans="1:5" x14ac:dyDescent="0.25">
      <c r="A1362" t="s">
        <v>349</v>
      </c>
      <c r="B1362" t="s">
        <v>288</v>
      </c>
      <c r="C1362" t="s">
        <v>18</v>
      </c>
      <c r="D1362" t="s">
        <v>227</v>
      </c>
      <c r="E1362">
        <v>15176.424242424242</v>
      </c>
    </row>
    <row r="1363" spans="1:5" x14ac:dyDescent="0.25">
      <c r="A1363" t="s">
        <v>349</v>
      </c>
      <c r="B1363" t="s">
        <v>288</v>
      </c>
      <c r="C1363" t="s">
        <v>5</v>
      </c>
      <c r="D1363" t="s">
        <v>227</v>
      </c>
      <c r="E1363">
        <v>87474.873484848518</v>
      </c>
    </row>
    <row r="1364" spans="1:5" x14ac:dyDescent="0.25">
      <c r="A1364" t="s">
        <v>349</v>
      </c>
      <c r="B1364" t="s">
        <v>285</v>
      </c>
      <c r="C1364" t="s">
        <v>4</v>
      </c>
      <c r="D1364" t="s">
        <v>290</v>
      </c>
      <c r="E1364">
        <v>33882.86735</v>
      </c>
    </row>
    <row r="1365" spans="1:5" x14ac:dyDescent="0.25">
      <c r="A1365" t="s">
        <v>349</v>
      </c>
      <c r="B1365" t="s">
        <v>288</v>
      </c>
      <c r="C1365" t="s">
        <v>4</v>
      </c>
      <c r="D1365" t="s">
        <v>290</v>
      </c>
      <c r="E1365">
        <v>84254.640656565505</v>
      </c>
    </row>
    <row r="1366" spans="1:5" x14ac:dyDescent="0.25">
      <c r="A1366" t="s">
        <v>349</v>
      </c>
      <c r="B1366" t="s">
        <v>288</v>
      </c>
      <c r="C1366" t="s">
        <v>18</v>
      </c>
      <c r="D1366" t="s">
        <v>290</v>
      </c>
      <c r="E1366">
        <v>11765.015151515152</v>
      </c>
    </row>
    <row r="1367" spans="1:5" x14ac:dyDescent="0.25">
      <c r="A1367" t="s">
        <v>349</v>
      </c>
      <c r="B1367" t="s">
        <v>288</v>
      </c>
      <c r="C1367" t="s">
        <v>5</v>
      </c>
      <c r="D1367" t="s">
        <v>290</v>
      </c>
      <c r="E1367">
        <v>121952.87424242422</v>
      </c>
    </row>
    <row r="1368" spans="1:5" x14ac:dyDescent="0.25">
      <c r="A1368" t="s">
        <v>349</v>
      </c>
      <c r="B1368" t="s">
        <v>16</v>
      </c>
      <c r="C1368" t="s">
        <v>4</v>
      </c>
      <c r="D1368" t="s">
        <v>49</v>
      </c>
      <c r="E1368">
        <v>176082.9185</v>
      </c>
    </row>
    <row r="1369" spans="1:5" x14ac:dyDescent="0.25">
      <c r="A1369" t="s">
        <v>349</v>
      </c>
      <c r="B1369" t="s">
        <v>16</v>
      </c>
      <c r="C1369" t="s">
        <v>18</v>
      </c>
      <c r="D1369" t="s">
        <v>49</v>
      </c>
      <c r="E1369">
        <v>13639.06667</v>
      </c>
    </row>
    <row r="1370" spans="1:5" x14ac:dyDescent="0.25">
      <c r="A1370" t="s">
        <v>349</v>
      </c>
      <c r="B1370" t="s">
        <v>16</v>
      </c>
      <c r="C1370" t="s">
        <v>5</v>
      </c>
      <c r="D1370" t="s">
        <v>49</v>
      </c>
      <c r="E1370">
        <v>83726.463380000001</v>
      </c>
    </row>
    <row r="1371" spans="1:5" x14ac:dyDescent="0.25">
      <c r="A1371" t="s">
        <v>349</v>
      </c>
      <c r="B1371" t="s">
        <v>285</v>
      </c>
      <c r="C1371" t="s">
        <v>4</v>
      </c>
      <c r="D1371" t="s">
        <v>49</v>
      </c>
      <c r="E1371">
        <v>131994.5355</v>
      </c>
    </row>
    <row r="1372" spans="1:5" x14ac:dyDescent="0.25">
      <c r="A1372" t="s">
        <v>349</v>
      </c>
      <c r="B1372" t="s">
        <v>285</v>
      </c>
      <c r="C1372" t="s">
        <v>5</v>
      </c>
      <c r="D1372" t="s">
        <v>49</v>
      </c>
      <c r="E1372">
        <v>107879.0566</v>
      </c>
    </row>
    <row r="1373" spans="1:5" x14ac:dyDescent="0.25">
      <c r="A1373" t="s">
        <v>349</v>
      </c>
      <c r="B1373" t="s">
        <v>288</v>
      </c>
      <c r="C1373" t="s">
        <v>4</v>
      </c>
      <c r="D1373" t="s">
        <v>49</v>
      </c>
      <c r="E1373">
        <v>167751.2423881673</v>
      </c>
    </row>
    <row r="1374" spans="1:5" x14ac:dyDescent="0.25">
      <c r="A1374" t="s">
        <v>349</v>
      </c>
      <c r="B1374" t="s">
        <v>288</v>
      </c>
      <c r="C1374" t="s">
        <v>18</v>
      </c>
      <c r="D1374" t="s">
        <v>49</v>
      </c>
      <c r="E1374">
        <v>13952.825757575754</v>
      </c>
    </row>
    <row r="1375" spans="1:5" x14ac:dyDescent="0.25">
      <c r="A1375" t="s">
        <v>349</v>
      </c>
      <c r="B1375" t="s">
        <v>288</v>
      </c>
      <c r="C1375" t="s">
        <v>5</v>
      </c>
      <c r="D1375" t="s">
        <v>49</v>
      </c>
      <c r="E1375">
        <v>64859.760822510812</v>
      </c>
    </row>
    <row r="1376" spans="1:5" x14ac:dyDescent="0.25">
      <c r="A1376" t="s">
        <v>349</v>
      </c>
      <c r="B1376" t="s">
        <v>16</v>
      </c>
      <c r="C1376" t="s">
        <v>4</v>
      </c>
      <c r="D1376" t="s">
        <v>228</v>
      </c>
      <c r="E1376">
        <v>90423.476190000001</v>
      </c>
    </row>
    <row r="1377" spans="1:5" x14ac:dyDescent="0.25">
      <c r="A1377" t="s">
        <v>349</v>
      </c>
      <c r="B1377" t="s">
        <v>285</v>
      </c>
      <c r="C1377" t="s">
        <v>4</v>
      </c>
      <c r="D1377" t="s">
        <v>228</v>
      </c>
      <c r="E1377">
        <v>84936.996029999995</v>
      </c>
    </row>
    <row r="1378" spans="1:5" x14ac:dyDescent="0.25">
      <c r="A1378" t="s">
        <v>349</v>
      </c>
      <c r="B1378" t="s">
        <v>285</v>
      </c>
      <c r="C1378" t="s">
        <v>5</v>
      </c>
      <c r="D1378" t="s">
        <v>228</v>
      </c>
      <c r="E1378">
        <v>25651.678029999999</v>
      </c>
    </row>
    <row r="1379" spans="1:5" x14ac:dyDescent="0.25">
      <c r="A1379" t="s">
        <v>349</v>
      </c>
      <c r="B1379" t="s">
        <v>288</v>
      </c>
      <c r="C1379" t="s">
        <v>4</v>
      </c>
      <c r="D1379" t="s">
        <v>228</v>
      </c>
      <c r="E1379">
        <v>16125.780303030302</v>
      </c>
    </row>
    <row r="1380" spans="1:5" x14ac:dyDescent="0.25">
      <c r="A1380" t="s">
        <v>349</v>
      </c>
      <c r="B1380" t="s">
        <v>288</v>
      </c>
      <c r="C1380" t="s">
        <v>18</v>
      </c>
      <c r="D1380" t="s">
        <v>228</v>
      </c>
      <c r="E1380">
        <v>8392.0476190476202</v>
      </c>
    </row>
    <row r="1381" spans="1:5" x14ac:dyDescent="0.25">
      <c r="A1381" t="s">
        <v>349</v>
      </c>
      <c r="B1381" t="s">
        <v>288</v>
      </c>
      <c r="C1381" t="s">
        <v>5</v>
      </c>
      <c r="D1381" t="s">
        <v>228</v>
      </c>
      <c r="E1381">
        <v>15711.284090909085</v>
      </c>
    </row>
    <row r="1382" spans="1:5" x14ac:dyDescent="0.25">
      <c r="A1382" t="s">
        <v>349</v>
      </c>
      <c r="B1382" t="s">
        <v>16</v>
      </c>
      <c r="C1382" t="s">
        <v>4</v>
      </c>
      <c r="D1382" t="s">
        <v>229</v>
      </c>
      <c r="E1382">
        <v>124929.2601</v>
      </c>
    </row>
    <row r="1383" spans="1:5" x14ac:dyDescent="0.25">
      <c r="A1383" t="s">
        <v>349</v>
      </c>
      <c r="B1383" t="s">
        <v>16</v>
      </c>
      <c r="C1383" t="s">
        <v>18</v>
      </c>
      <c r="D1383" t="s">
        <v>229</v>
      </c>
      <c r="E1383">
        <v>11799.10823</v>
      </c>
    </row>
    <row r="1384" spans="1:5" x14ac:dyDescent="0.25">
      <c r="A1384" t="s">
        <v>349</v>
      </c>
      <c r="B1384" t="s">
        <v>16</v>
      </c>
      <c r="C1384" t="s">
        <v>5</v>
      </c>
      <c r="D1384" t="s">
        <v>229</v>
      </c>
      <c r="E1384">
        <v>67025.930049999995</v>
      </c>
    </row>
    <row r="1385" spans="1:5" x14ac:dyDescent="0.25">
      <c r="A1385" t="s">
        <v>349</v>
      </c>
      <c r="B1385" t="s">
        <v>285</v>
      </c>
      <c r="C1385" t="s">
        <v>4</v>
      </c>
      <c r="D1385" t="s">
        <v>229</v>
      </c>
      <c r="E1385">
        <v>119091.61289999999</v>
      </c>
    </row>
    <row r="1386" spans="1:5" x14ac:dyDescent="0.25">
      <c r="A1386" t="s">
        <v>349</v>
      </c>
      <c r="B1386" t="s">
        <v>285</v>
      </c>
      <c r="C1386" t="s">
        <v>5</v>
      </c>
      <c r="D1386" t="s">
        <v>229</v>
      </c>
      <c r="E1386">
        <v>112931.5053</v>
      </c>
    </row>
    <row r="1387" spans="1:5" x14ac:dyDescent="0.25">
      <c r="A1387" t="s">
        <v>349</v>
      </c>
      <c r="B1387" t="s">
        <v>288</v>
      </c>
      <c r="C1387" t="s">
        <v>4</v>
      </c>
      <c r="D1387" t="s">
        <v>229</v>
      </c>
      <c r="E1387">
        <v>110757.28528138496</v>
      </c>
    </row>
    <row r="1388" spans="1:5" x14ac:dyDescent="0.25">
      <c r="A1388" t="s">
        <v>349</v>
      </c>
      <c r="B1388" t="s">
        <v>288</v>
      </c>
      <c r="C1388" t="s">
        <v>18</v>
      </c>
      <c r="D1388" t="s">
        <v>229</v>
      </c>
      <c r="E1388">
        <v>1515.4166666666667</v>
      </c>
    </row>
    <row r="1389" spans="1:5" x14ac:dyDescent="0.25">
      <c r="A1389" t="s">
        <v>349</v>
      </c>
      <c r="B1389" t="s">
        <v>288</v>
      </c>
      <c r="C1389" t="s">
        <v>5</v>
      </c>
      <c r="D1389" t="s">
        <v>229</v>
      </c>
      <c r="E1389">
        <v>82062.800000000134</v>
      </c>
    </row>
    <row r="1390" spans="1:5" x14ac:dyDescent="0.25">
      <c r="A1390" t="s">
        <v>349</v>
      </c>
      <c r="B1390" t="s">
        <v>16</v>
      </c>
      <c r="C1390" t="s">
        <v>4</v>
      </c>
      <c r="D1390" t="s">
        <v>50</v>
      </c>
      <c r="E1390">
        <v>474.99090910000001</v>
      </c>
    </row>
    <row r="1391" spans="1:5" x14ac:dyDescent="0.25">
      <c r="A1391" t="s">
        <v>349</v>
      </c>
      <c r="B1391" t="s">
        <v>16</v>
      </c>
      <c r="C1391" t="s">
        <v>18</v>
      </c>
      <c r="D1391" t="s">
        <v>50</v>
      </c>
      <c r="E1391">
        <v>12817.36472</v>
      </c>
    </row>
    <row r="1392" spans="1:5" x14ac:dyDescent="0.25">
      <c r="A1392" t="s">
        <v>349</v>
      </c>
      <c r="B1392" t="s">
        <v>16</v>
      </c>
      <c r="C1392" t="s">
        <v>5</v>
      </c>
      <c r="D1392" t="s">
        <v>50</v>
      </c>
      <c r="E1392">
        <v>38152.168870000001</v>
      </c>
    </row>
    <row r="1393" spans="1:5" x14ac:dyDescent="0.25">
      <c r="A1393" t="s">
        <v>349</v>
      </c>
      <c r="B1393" t="s">
        <v>285</v>
      </c>
      <c r="C1393" t="s">
        <v>4</v>
      </c>
      <c r="D1393" t="s">
        <v>50</v>
      </c>
      <c r="E1393">
        <v>1822.1740259999999</v>
      </c>
    </row>
    <row r="1394" spans="1:5" x14ac:dyDescent="0.25">
      <c r="A1394" t="s">
        <v>349</v>
      </c>
      <c r="B1394" t="s">
        <v>16</v>
      </c>
      <c r="C1394" t="s">
        <v>18</v>
      </c>
      <c r="D1394" t="s">
        <v>59</v>
      </c>
      <c r="E1394" t="s">
        <v>351</v>
      </c>
    </row>
    <row r="1395" spans="1:5" x14ac:dyDescent="0.25">
      <c r="A1395" t="s">
        <v>349</v>
      </c>
      <c r="B1395" t="s">
        <v>16</v>
      </c>
      <c r="C1395" t="s">
        <v>4</v>
      </c>
      <c r="D1395" t="s">
        <v>59</v>
      </c>
      <c r="E1395" t="s">
        <v>355</v>
      </c>
    </row>
    <row r="1396" spans="1:5" x14ac:dyDescent="0.25">
      <c r="A1396" t="s">
        <v>349</v>
      </c>
      <c r="B1396" t="s">
        <v>16</v>
      </c>
      <c r="C1396" t="s">
        <v>5</v>
      </c>
      <c r="D1396" t="s">
        <v>59</v>
      </c>
      <c r="E1396" t="s">
        <v>360</v>
      </c>
    </row>
    <row r="1397" spans="1:5" x14ac:dyDescent="0.25">
      <c r="A1397" t="s">
        <v>349</v>
      </c>
      <c r="B1397" t="s">
        <v>288</v>
      </c>
      <c r="C1397" t="s">
        <v>18</v>
      </c>
      <c r="D1397" t="s">
        <v>59</v>
      </c>
      <c r="E1397" t="s">
        <v>365</v>
      </c>
    </row>
    <row r="1398" spans="1:5" x14ac:dyDescent="0.25">
      <c r="A1398" t="s">
        <v>349</v>
      </c>
      <c r="B1398" t="s">
        <v>288</v>
      </c>
      <c r="C1398" t="s">
        <v>4</v>
      </c>
      <c r="D1398" t="s">
        <v>59</v>
      </c>
      <c r="E1398" t="s">
        <v>369</v>
      </c>
    </row>
    <row r="1399" spans="1:5" x14ac:dyDescent="0.25">
      <c r="A1399" t="s">
        <v>349</v>
      </c>
      <c r="B1399" t="s">
        <v>288</v>
      </c>
      <c r="C1399" t="s">
        <v>5</v>
      </c>
      <c r="D1399" t="s">
        <v>59</v>
      </c>
      <c r="E1399" t="s">
        <v>374</v>
      </c>
    </row>
    <row r="1400" spans="1:5" x14ac:dyDescent="0.25">
      <c r="A1400" t="s">
        <v>349</v>
      </c>
      <c r="B1400" t="s">
        <v>285</v>
      </c>
      <c r="C1400" t="s">
        <v>4</v>
      </c>
      <c r="D1400" t="s">
        <v>59</v>
      </c>
      <c r="E1400" t="s">
        <v>379</v>
      </c>
    </row>
    <row r="1401" spans="1:5" x14ac:dyDescent="0.25">
      <c r="A1401" t="s">
        <v>349</v>
      </c>
      <c r="B1401" t="s">
        <v>285</v>
      </c>
      <c r="C1401" t="s">
        <v>5</v>
      </c>
      <c r="D1401" t="s">
        <v>59</v>
      </c>
      <c r="E1401" t="s">
        <v>384</v>
      </c>
    </row>
    <row r="1402" spans="1:5" x14ac:dyDescent="0.25">
      <c r="A1402" t="s">
        <v>349</v>
      </c>
      <c r="B1402" t="s">
        <v>16</v>
      </c>
      <c r="C1402" t="s">
        <v>18</v>
      </c>
      <c r="D1402" t="s">
        <v>63</v>
      </c>
      <c r="E1402" t="s">
        <v>352</v>
      </c>
    </row>
    <row r="1403" spans="1:5" x14ac:dyDescent="0.25">
      <c r="A1403" t="s">
        <v>349</v>
      </c>
      <c r="B1403" t="s">
        <v>16</v>
      </c>
      <c r="C1403" t="s">
        <v>4</v>
      </c>
      <c r="D1403" t="s">
        <v>63</v>
      </c>
      <c r="E1403" t="s">
        <v>356</v>
      </c>
    </row>
    <row r="1404" spans="1:5" x14ac:dyDescent="0.25">
      <c r="A1404" t="s">
        <v>349</v>
      </c>
      <c r="B1404" t="s">
        <v>16</v>
      </c>
      <c r="C1404" t="s">
        <v>5</v>
      </c>
      <c r="D1404" t="s">
        <v>63</v>
      </c>
      <c r="E1404" t="s">
        <v>361</v>
      </c>
    </row>
    <row r="1405" spans="1:5" x14ac:dyDescent="0.25">
      <c r="A1405" t="s">
        <v>349</v>
      </c>
      <c r="B1405" t="s">
        <v>288</v>
      </c>
      <c r="C1405" t="s">
        <v>18</v>
      </c>
      <c r="D1405" t="s">
        <v>63</v>
      </c>
      <c r="E1405" t="s">
        <v>366</v>
      </c>
    </row>
    <row r="1406" spans="1:5" x14ac:dyDescent="0.25">
      <c r="A1406" t="s">
        <v>349</v>
      </c>
      <c r="B1406" t="s">
        <v>288</v>
      </c>
      <c r="C1406" t="s">
        <v>4</v>
      </c>
      <c r="D1406" t="s">
        <v>63</v>
      </c>
      <c r="E1406" t="s">
        <v>370</v>
      </c>
    </row>
    <row r="1407" spans="1:5" x14ac:dyDescent="0.25">
      <c r="A1407" t="s">
        <v>349</v>
      </c>
      <c r="B1407" t="s">
        <v>288</v>
      </c>
      <c r="C1407" t="s">
        <v>5</v>
      </c>
      <c r="D1407" t="s">
        <v>63</v>
      </c>
      <c r="E1407" t="s">
        <v>375</v>
      </c>
    </row>
    <row r="1408" spans="1:5" x14ac:dyDescent="0.25">
      <c r="A1408" t="s">
        <v>349</v>
      </c>
      <c r="B1408" t="s">
        <v>285</v>
      </c>
      <c r="C1408" t="s">
        <v>4</v>
      </c>
      <c r="D1408" t="s">
        <v>63</v>
      </c>
      <c r="E1408" t="s">
        <v>380</v>
      </c>
    </row>
    <row r="1409" spans="1:5" x14ac:dyDescent="0.25">
      <c r="A1409" t="s">
        <v>349</v>
      </c>
      <c r="B1409" t="s">
        <v>285</v>
      </c>
      <c r="C1409" t="s">
        <v>5</v>
      </c>
      <c r="D1409" t="s">
        <v>63</v>
      </c>
      <c r="E1409" t="s">
        <v>385</v>
      </c>
    </row>
    <row r="1410" spans="1:5" x14ac:dyDescent="0.25">
      <c r="A1410" t="s">
        <v>349</v>
      </c>
      <c r="B1410" t="s">
        <v>16</v>
      </c>
      <c r="C1410" t="s">
        <v>18</v>
      </c>
      <c r="D1410" t="s">
        <v>67</v>
      </c>
      <c r="E1410" t="s">
        <v>353</v>
      </c>
    </row>
    <row r="1411" spans="1:5" x14ac:dyDescent="0.25">
      <c r="A1411" t="s">
        <v>349</v>
      </c>
      <c r="B1411" t="s">
        <v>16</v>
      </c>
      <c r="C1411" t="s">
        <v>4</v>
      </c>
      <c r="D1411" t="s">
        <v>67</v>
      </c>
      <c r="E1411" t="s">
        <v>357</v>
      </c>
    </row>
    <row r="1412" spans="1:5" x14ac:dyDescent="0.25">
      <c r="A1412" t="s">
        <v>349</v>
      </c>
      <c r="B1412" t="s">
        <v>16</v>
      </c>
      <c r="C1412" t="s">
        <v>5</v>
      </c>
      <c r="D1412" t="s">
        <v>67</v>
      </c>
      <c r="E1412" t="s">
        <v>362</v>
      </c>
    </row>
    <row r="1413" spans="1:5" x14ac:dyDescent="0.25">
      <c r="A1413" t="s">
        <v>349</v>
      </c>
      <c r="B1413" t="s">
        <v>288</v>
      </c>
      <c r="C1413" t="s">
        <v>18</v>
      </c>
      <c r="D1413" t="s">
        <v>67</v>
      </c>
      <c r="E1413" t="s">
        <v>367</v>
      </c>
    </row>
    <row r="1414" spans="1:5" x14ac:dyDescent="0.25">
      <c r="A1414" t="s">
        <v>349</v>
      </c>
      <c r="B1414" t="s">
        <v>288</v>
      </c>
      <c r="C1414" t="s">
        <v>4</v>
      </c>
      <c r="D1414" t="s">
        <v>67</v>
      </c>
      <c r="E1414" t="s">
        <v>371</v>
      </c>
    </row>
    <row r="1415" spans="1:5" x14ac:dyDescent="0.25">
      <c r="A1415" t="s">
        <v>349</v>
      </c>
      <c r="B1415" t="s">
        <v>288</v>
      </c>
      <c r="C1415" t="s">
        <v>5</v>
      </c>
      <c r="D1415" t="s">
        <v>67</v>
      </c>
      <c r="E1415" t="s">
        <v>376</v>
      </c>
    </row>
    <row r="1416" spans="1:5" x14ac:dyDescent="0.25">
      <c r="A1416" t="s">
        <v>349</v>
      </c>
      <c r="B1416" t="s">
        <v>285</v>
      </c>
      <c r="C1416" t="s">
        <v>4</v>
      </c>
      <c r="D1416" t="s">
        <v>67</v>
      </c>
      <c r="E1416" t="s">
        <v>381</v>
      </c>
    </row>
    <row r="1417" spans="1:5" x14ac:dyDescent="0.25">
      <c r="A1417" t="s">
        <v>349</v>
      </c>
      <c r="B1417" t="s">
        <v>285</v>
      </c>
      <c r="C1417" t="s">
        <v>5</v>
      </c>
      <c r="D1417" t="s">
        <v>67</v>
      </c>
      <c r="E1417" t="s">
        <v>386</v>
      </c>
    </row>
    <row r="1418" spans="1:5" x14ac:dyDescent="0.25">
      <c r="A1418" t="s">
        <v>349</v>
      </c>
      <c r="B1418" t="s">
        <v>16</v>
      </c>
      <c r="C1418" t="s">
        <v>18</v>
      </c>
      <c r="D1418" t="s">
        <v>233</v>
      </c>
      <c r="E1418" t="s">
        <v>354</v>
      </c>
    </row>
    <row r="1419" spans="1:5" x14ac:dyDescent="0.25">
      <c r="A1419" t="s">
        <v>349</v>
      </c>
      <c r="B1419" t="s">
        <v>16</v>
      </c>
      <c r="C1419" t="s">
        <v>4</v>
      </c>
      <c r="D1419" t="s">
        <v>233</v>
      </c>
      <c r="E1419" t="s">
        <v>358</v>
      </c>
    </row>
    <row r="1420" spans="1:5" x14ac:dyDescent="0.25">
      <c r="A1420" t="s">
        <v>349</v>
      </c>
      <c r="B1420" t="s">
        <v>16</v>
      </c>
      <c r="C1420" t="s">
        <v>5</v>
      </c>
      <c r="D1420" t="s">
        <v>233</v>
      </c>
      <c r="E1420" t="s">
        <v>363</v>
      </c>
    </row>
    <row r="1421" spans="1:5" x14ac:dyDescent="0.25">
      <c r="A1421" t="s">
        <v>349</v>
      </c>
      <c r="B1421" t="s">
        <v>288</v>
      </c>
      <c r="C1421" t="s">
        <v>18</v>
      </c>
      <c r="D1421" t="s">
        <v>233</v>
      </c>
      <c r="E1421" t="s">
        <v>368</v>
      </c>
    </row>
    <row r="1422" spans="1:5" x14ac:dyDescent="0.25">
      <c r="A1422" t="s">
        <v>349</v>
      </c>
      <c r="B1422" t="s">
        <v>288</v>
      </c>
      <c r="C1422" t="s">
        <v>4</v>
      </c>
      <c r="D1422" t="s">
        <v>233</v>
      </c>
      <c r="E1422" t="s">
        <v>372</v>
      </c>
    </row>
    <row r="1423" spans="1:5" x14ac:dyDescent="0.25">
      <c r="A1423" t="s">
        <v>349</v>
      </c>
      <c r="B1423" t="s">
        <v>288</v>
      </c>
      <c r="C1423" t="s">
        <v>5</v>
      </c>
      <c r="D1423" t="s">
        <v>233</v>
      </c>
      <c r="E1423" t="s">
        <v>377</v>
      </c>
    </row>
    <row r="1424" spans="1:5" x14ac:dyDescent="0.25">
      <c r="A1424" t="s">
        <v>349</v>
      </c>
      <c r="B1424" t="s">
        <v>285</v>
      </c>
      <c r="C1424" t="s">
        <v>4</v>
      </c>
      <c r="D1424" t="s">
        <v>233</v>
      </c>
      <c r="E1424" t="s">
        <v>382</v>
      </c>
    </row>
    <row r="1425" spans="1:5" x14ac:dyDescent="0.25">
      <c r="A1425" t="s">
        <v>349</v>
      </c>
      <c r="B1425" t="s">
        <v>285</v>
      </c>
      <c r="C1425" t="s">
        <v>5</v>
      </c>
      <c r="D1425" t="s">
        <v>233</v>
      </c>
      <c r="E1425" t="s">
        <v>387</v>
      </c>
    </row>
    <row r="1426" spans="1:5" x14ac:dyDescent="0.25">
      <c r="A1426" t="s">
        <v>349</v>
      </c>
      <c r="B1426" t="s">
        <v>16</v>
      </c>
      <c r="C1426" t="s">
        <v>4</v>
      </c>
      <c r="D1426" t="s">
        <v>239</v>
      </c>
      <c r="E1426" t="s">
        <v>359</v>
      </c>
    </row>
    <row r="1427" spans="1:5" x14ac:dyDescent="0.25">
      <c r="A1427" t="s">
        <v>349</v>
      </c>
      <c r="B1427" t="s">
        <v>16</v>
      </c>
      <c r="C1427" t="s">
        <v>5</v>
      </c>
      <c r="D1427" t="s">
        <v>239</v>
      </c>
      <c r="E1427" t="s">
        <v>364</v>
      </c>
    </row>
    <row r="1428" spans="1:5" x14ac:dyDescent="0.25">
      <c r="A1428" t="s">
        <v>349</v>
      </c>
      <c r="B1428" t="s">
        <v>288</v>
      </c>
      <c r="C1428" t="s">
        <v>4</v>
      </c>
      <c r="D1428" t="s">
        <v>239</v>
      </c>
      <c r="E1428" t="s">
        <v>373</v>
      </c>
    </row>
    <row r="1429" spans="1:5" x14ac:dyDescent="0.25">
      <c r="A1429" t="s">
        <v>349</v>
      </c>
      <c r="B1429" t="s">
        <v>288</v>
      </c>
      <c r="C1429" t="s">
        <v>5</v>
      </c>
      <c r="D1429" t="s">
        <v>239</v>
      </c>
      <c r="E1429" t="s">
        <v>378</v>
      </c>
    </row>
    <row r="1430" spans="1:5" x14ac:dyDescent="0.25">
      <c r="A1430" t="s">
        <v>349</v>
      </c>
      <c r="B1430" t="s">
        <v>285</v>
      </c>
      <c r="C1430" t="s">
        <v>4</v>
      </c>
      <c r="D1430" t="s">
        <v>239</v>
      </c>
      <c r="E1430" t="s">
        <v>383</v>
      </c>
    </row>
    <row r="1431" spans="1:5" x14ac:dyDescent="0.25">
      <c r="A1431" t="s">
        <v>349</v>
      </c>
      <c r="B1431" t="s">
        <v>285</v>
      </c>
      <c r="C1431" t="s">
        <v>5</v>
      </c>
      <c r="D1431" t="s">
        <v>239</v>
      </c>
      <c r="E1431" t="s">
        <v>388</v>
      </c>
    </row>
    <row r="1432" spans="1:5" x14ac:dyDescent="0.25">
      <c r="A1432" t="s">
        <v>349</v>
      </c>
      <c r="B1432" t="s">
        <v>16</v>
      </c>
      <c r="C1432" t="s">
        <v>4</v>
      </c>
      <c r="D1432" t="s">
        <v>6</v>
      </c>
      <c r="E1432">
        <v>12207</v>
      </c>
    </row>
    <row r="1433" spans="1:5" x14ac:dyDescent="0.25">
      <c r="A1433" t="s">
        <v>349</v>
      </c>
      <c r="B1433" t="s">
        <v>16</v>
      </c>
      <c r="C1433" t="s">
        <v>18</v>
      </c>
      <c r="D1433" t="s">
        <v>6</v>
      </c>
      <c r="E1433">
        <v>447</v>
      </c>
    </row>
    <row r="1434" spans="1:5" x14ac:dyDescent="0.25">
      <c r="A1434" t="s">
        <v>349</v>
      </c>
      <c r="B1434" t="s">
        <v>16</v>
      </c>
      <c r="C1434" t="s">
        <v>5</v>
      </c>
      <c r="D1434" t="s">
        <v>6</v>
      </c>
      <c r="E1434">
        <v>3421</v>
      </c>
    </row>
    <row r="1435" spans="1:5" x14ac:dyDescent="0.25">
      <c r="A1435" t="s">
        <v>349</v>
      </c>
      <c r="B1435" t="s">
        <v>285</v>
      </c>
      <c r="C1435" t="s">
        <v>4</v>
      </c>
      <c r="D1435" t="s">
        <v>6</v>
      </c>
      <c r="E1435">
        <v>4063</v>
      </c>
    </row>
    <row r="1436" spans="1:5" x14ac:dyDescent="0.25">
      <c r="A1436" t="s">
        <v>349</v>
      </c>
      <c r="B1436" t="s">
        <v>285</v>
      </c>
      <c r="C1436" t="s">
        <v>5</v>
      </c>
      <c r="D1436" t="s">
        <v>6</v>
      </c>
      <c r="E1436">
        <v>1020</v>
      </c>
    </row>
    <row r="1437" spans="1:5" x14ac:dyDescent="0.25">
      <c r="A1437" t="s">
        <v>349</v>
      </c>
      <c r="B1437" t="s">
        <v>288</v>
      </c>
      <c r="C1437" t="s">
        <v>4</v>
      </c>
      <c r="D1437" t="s">
        <v>6</v>
      </c>
      <c r="E1437">
        <v>11704</v>
      </c>
    </row>
    <row r="1438" spans="1:5" x14ac:dyDescent="0.25">
      <c r="A1438" t="s">
        <v>349</v>
      </c>
      <c r="B1438" t="s">
        <v>288</v>
      </c>
      <c r="C1438" t="s">
        <v>18</v>
      </c>
      <c r="D1438" t="s">
        <v>6</v>
      </c>
      <c r="E1438">
        <v>909</v>
      </c>
    </row>
    <row r="1439" spans="1:5" x14ac:dyDescent="0.25">
      <c r="A1439" t="s">
        <v>349</v>
      </c>
      <c r="B1439" t="s">
        <v>288</v>
      </c>
      <c r="C1439" t="s">
        <v>5</v>
      </c>
      <c r="D1439" t="s">
        <v>6</v>
      </c>
      <c r="E1439">
        <v>3161</v>
      </c>
    </row>
    <row r="1440" spans="1:5" x14ac:dyDescent="0.25">
      <c r="A1440" t="s">
        <v>349</v>
      </c>
      <c r="B1440" t="s">
        <v>16</v>
      </c>
      <c r="C1440" t="s">
        <v>4</v>
      </c>
      <c r="D1440" t="s">
        <v>17</v>
      </c>
      <c r="E1440">
        <v>460</v>
      </c>
    </row>
    <row r="1441" spans="1:5" x14ac:dyDescent="0.25">
      <c r="A1441" t="s">
        <v>349</v>
      </c>
      <c r="B1441" t="s">
        <v>16</v>
      </c>
      <c r="C1441" t="s">
        <v>18</v>
      </c>
      <c r="D1441" t="s">
        <v>17</v>
      </c>
      <c r="E1441">
        <v>5</v>
      </c>
    </row>
    <row r="1442" spans="1:5" x14ac:dyDescent="0.25">
      <c r="A1442" t="s">
        <v>349</v>
      </c>
      <c r="B1442" t="s">
        <v>16</v>
      </c>
      <c r="C1442" t="s">
        <v>5</v>
      </c>
      <c r="D1442" t="s">
        <v>17</v>
      </c>
      <c r="E1442">
        <v>26</v>
      </c>
    </row>
    <row r="1443" spans="1:5" x14ac:dyDescent="0.25">
      <c r="A1443" t="s">
        <v>349</v>
      </c>
      <c r="B1443" t="s">
        <v>285</v>
      </c>
      <c r="C1443" t="s">
        <v>4</v>
      </c>
      <c r="D1443" t="s">
        <v>17</v>
      </c>
      <c r="E1443">
        <v>16</v>
      </c>
    </row>
    <row r="1444" spans="1:5" x14ac:dyDescent="0.25">
      <c r="A1444" t="s">
        <v>349</v>
      </c>
      <c r="B1444" t="s">
        <v>285</v>
      </c>
      <c r="C1444" t="s">
        <v>5</v>
      </c>
      <c r="D1444" t="s">
        <v>17</v>
      </c>
      <c r="E1444">
        <v>7</v>
      </c>
    </row>
    <row r="1445" spans="1:5" x14ac:dyDescent="0.25">
      <c r="A1445" t="s">
        <v>349</v>
      </c>
      <c r="B1445" t="s">
        <v>288</v>
      </c>
      <c r="C1445" t="s">
        <v>4</v>
      </c>
      <c r="D1445" t="s">
        <v>17</v>
      </c>
      <c r="E1445">
        <v>713</v>
      </c>
    </row>
    <row r="1446" spans="1:5" x14ac:dyDescent="0.25">
      <c r="A1446" t="s">
        <v>349</v>
      </c>
      <c r="B1446" t="s">
        <v>288</v>
      </c>
      <c r="C1446" t="s">
        <v>18</v>
      </c>
      <c r="D1446" t="s">
        <v>17</v>
      </c>
      <c r="E1446">
        <v>8</v>
      </c>
    </row>
    <row r="1447" spans="1:5" x14ac:dyDescent="0.25">
      <c r="A1447" t="s">
        <v>349</v>
      </c>
      <c r="B1447" t="s">
        <v>288</v>
      </c>
      <c r="C1447" t="s">
        <v>5</v>
      </c>
      <c r="D1447" t="s">
        <v>17</v>
      </c>
      <c r="E1447">
        <v>15</v>
      </c>
    </row>
    <row r="1448" spans="1:5" x14ac:dyDescent="0.25">
      <c r="A1448" t="s">
        <v>349</v>
      </c>
      <c r="B1448" t="s">
        <v>16</v>
      </c>
      <c r="C1448" t="s">
        <v>4</v>
      </c>
      <c r="D1448" t="s">
        <v>29</v>
      </c>
      <c r="E1448" t="s">
        <v>329</v>
      </c>
    </row>
    <row r="1449" spans="1:5" x14ac:dyDescent="0.25">
      <c r="A1449" t="s">
        <v>349</v>
      </c>
      <c r="B1449" t="s">
        <v>285</v>
      </c>
      <c r="C1449" t="s">
        <v>4</v>
      </c>
      <c r="D1449" t="s">
        <v>29</v>
      </c>
      <c r="E1449" t="s">
        <v>330</v>
      </c>
    </row>
    <row r="1450" spans="1:5" x14ac:dyDescent="0.25">
      <c r="A1450" t="s">
        <v>349</v>
      </c>
      <c r="B1450" t="s">
        <v>288</v>
      </c>
      <c r="C1450" t="s">
        <v>4</v>
      </c>
      <c r="D1450" t="s">
        <v>29</v>
      </c>
      <c r="E1450" t="s">
        <v>331</v>
      </c>
    </row>
    <row r="1451" spans="1:5" x14ac:dyDescent="0.25">
      <c r="A1451" t="s">
        <v>349</v>
      </c>
      <c r="B1451" t="s">
        <v>16</v>
      </c>
      <c r="C1451" t="s">
        <v>4</v>
      </c>
      <c r="D1451" t="s">
        <v>31</v>
      </c>
      <c r="E1451" t="s">
        <v>389</v>
      </c>
    </row>
    <row r="1452" spans="1:5" x14ac:dyDescent="0.25">
      <c r="A1452" t="s">
        <v>349</v>
      </c>
      <c r="B1452" t="s">
        <v>16</v>
      </c>
      <c r="C1452" t="s">
        <v>5</v>
      </c>
      <c r="D1452" t="s">
        <v>31</v>
      </c>
      <c r="E1452" t="s">
        <v>390</v>
      </c>
    </row>
    <row r="1453" spans="1:5" x14ac:dyDescent="0.25">
      <c r="A1453" t="s">
        <v>349</v>
      </c>
      <c r="B1453" t="s">
        <v>285</v>
      </c>
      <c r="C1453" t="s">
        <v>4</v>
      </c>
      <c r="D1453" t="s">
        <v>31</v>
      </c>
      <c r="E1453" t="s">
        <v>333</v>
      </c>
    </row>
    <row r="1454" spans="1:5" x14ac:dyDescent="0.25">
      <c r="A1454" t="s">
        <v>349</v>
      </c>
      <c r="B1454" t="s">
        <v>288</v>
      </c>
      <c r="C1454" t="s">
        <v>4</v>
      </c>
      <c r="D1454" t="s">
        <v>31</v>
      </c>
      <c r="E1454" t="s">
        <v>391</v>
      </c>
    </row>
    <row r="1455" spans="1:5" x14ac:dyDescent="0.25">
      <c r="A1455" t="s">
        <v>349</v>
      </c>
      <c r="B1455" t="s">
        <v>288</v>
      </c>
      <c r="C1455" t="s">
        <v>5</v>
      </c>
      <c r="D1455" t="s">
        <v>31</v>
      </c>
      <c r="E1455" t="s">
        <v>392</v>
      </c>
    </row>
    <row r="1456" spans="1:5" x14ac:dyDescent="0.25">
      <c r="A1456" t="s">
        <v>349</v>
      </c>
      <c r="B1456" t="s">
        <v>16</v>
      </c>
      <c r="C1456" t="s">
        <v>4</v>
      </c>
      <c r="D1456" t="s">
        <v>249</v>
      </c>
      <c r="E1456" t="s">
        <v>393</v>
      </c>
    </row>
    <row r="1457" spans="1:5" x14ac:dyDescent="0.25">
      <c r="A1457" t="s">
        <v>349</v>
      </c>
      <c r="B1457" t="s">
        <v>16</v>
      </c>
      <c r="C1457" t="s">
        <v>4</v>
      </c>
      <c r="D1457" t="s">
        <v>34</v>
      </c>
      <c r="E1457">
        <v>45292</v>
      </c>
    </row>
    <row r="1458" spans="1:5" x14ac:dyDescent="0.25">
      <c r="A1458" t="s">
        <v>349</v>
      </c>
      <c r="B1458" t="s">
        <v>16</v>
      </c>
      <c r="C1458" t="s">
        <v>18</v>
      </c>
      <c r="D1458" t="s">
        <v>34</v>
      </c>
      <c r="E1458" t="s">
        <v>394</v>
      </c>
    </row>
    <row r="1459" spans="1:5" x14ac:dyDescent="0.25">
      <c r="A1459" t="s">
        <v>349</v>
      </c>
      <c r="B1459" t="s">
        <v>16</v>
      </c>
      <c r="C1459" t="s">
        <v>5</v>
      </c>
      <c r="D1459" t="s">
        <v>34</v>
      </c>
      <c r="E1459" t="s">
        <v>395</v>
      </c>
    </row>
    <row r="1460" spans="1:5" x14ac:dyDescent="0.25">
      <c r="A1460" t="s">
        <v>349</v>
      </c>
      <c r="B1460" t="s">
        <v>288</v>
      </c>
      <c r="C1460" t="s">
        <v>4</v>
      </c>
      <c r="D1460" t="s">
        <v>34</v>
      </c>
      <c r="E1460" t="s">
        <v>338</v>
      </c>
    </row>
    <row r="1461" spans="1:5" x14ac:dyDescent="0.25">
      <c r="A1461" t="s">
        <v>349</v>
      </c>
      <c r="B1461" t="s">
        <v>288</v>
      </c>
      <c r="C1461" t="s">
        <v>18</v>
      </c>
      <c r="D1461" t="s">
        <v>34</v>
      </c>
      <c r="E1461" t="s">
        <v>339</v>
      </c>
    </row>
    <row r="1462" spans="1:5" x14ac:dyDescent="0.25">
      <c r="A1462" t="s">
        <v>349</v>
      </c>
      <c r="B1462" t="s">
        <v>288</v>
      </c>
      <c r="C1462" t="s">
        <v>5</v>
      </c>
      <c r="D1462" t="s">
        <v>34</v>
      </c>
      <c r="E1462" t="s">
        <v>396</v>
      </c>
    </row>
    <row r="1463" spans="1:5" x14ac:dyDescent="0.25">
      <c r="A1463" t="s">
        <v>349</v>
      </c>
      <c r="B1463" t="s">
        <v>16</v>
      </c>
      <c r="C1463" t="s">
        <v>4</v>
      </c>
      <c r="D1463" t="s">
        <v>38</v>
      </c>
      <c r="E1463" t="s">
        <v>397</v>
      </c>
    </row>
    <row r="1464" spans="1:5" x14ac:dyDescent="0.25">
      <c r="A1464" t="s">
        <v>349</v>
      </c>
      <c r="B1464" t="s">
        <v>16</v>
      </c>
      <c r="C1464" t="s">
        <v>18</v>
      </c>
      <c r="D1464" t="s">
        <v>38</v>
      </c>
      <c r="E1464" t="s">
        <v>398</v>
      </c>
    </row>
    <row r="1465" spans="1:5" x14ac:dyDescent="0.25">
      <c r="A1465" t="s">
        <v>349</v>
      </c>
      <c r="B1465" t="s">
        <v>16</v>
      </c>
      <c r="C1465" t="s">
        <v>5</v>
      </c>
      <c r="D1465" t="s">
        <v>38</v>
      </c>
      <c r="E1465" t="s">
        <v>399</v>
      </c>
    </row>
    <row r="1466" spans="1:5" x14ac:dyDescent="0.25">
      <c r="A1466" t="s">
        <v>349</v>
      </c>
      <c r="B1466" t="s">
        <v>285</v>
      </c>
      <c r="C1466" t="s">
        <v>4</v>
      </c>
      <c r="D1466" t="s">
        <v>38</v>
      </c>
      <c r="E1466" t="s">
        <v>400</v>
      </c>
    </row>
    <row r="1467" spans="1:5" x14ac:dyDescent="0.25">
      <c r="A1467" t="s">
        <v>349</v>
      </c>
      <c r="B1467" t="s">
        <v>285</v>
      </c>
      <c r="C1467" t="s">
        <v>5</v>
      </c>
      <c r="D1467" t="s">
        <v>38</v>
      </c>
      <c r="E1467" t="s">
        <v>401</v>
      </c>
    </row>
    <row r="1468" spans="1:5" x14ac:dyDescent="0.25">
      <c r="A1468" t="s">
        <v>349</v>
      </c>
      <c r="B1468" t="s">
        <v>288</v>
      </c>
      <c r="C1468" t="s">
        <v>4</v>
      </c>
      <c r="D1468" t="s">
        <v>38</v>
      </c>
      <c r="E1468" t="s">
        <v>402</v>
      </c>
    </row>
    <row r="1469" spans="1:5" x14ac:dyDescent="0.25">
      <c r="A1469" t="s">
        <v>349</v>
      </c>
      <c r="B1469" t="s">
        <v>288</v>
      </c>
      <c r="C1469" t="s">
        <v>18</v>
      </c>
      <c r="D1469" t="s">
        <v>38</v>
      </c>
      <c r="E1469" t="s">
        <v>403</v>
      </c>
    </row>
    <row r="1470" spans="1:5" x14ac:dyDescent="0.25">
      <c r="A1470" t="s">
        <v>349</v>
      </c>
      <c r="B1470" t="s">
        <v>288</v>
      </c>
      <c r="C1470" t="s">
        <v>5</v>
      </c>
      <c r="D1470" t="s">
        <v>38</v>
      </c>
      <c r="E1470" t="s">
        <v>404</v>
      </c>
    </row>
    <row r="1471" spans="1:5" x14ac:dyDescent="0.25">
      <c r="A1471" t="s">
        <v>349</v>
      </c>
      <c r="B1471" t="s">
        <v>16</v>
      </c>
      <c r="C1471" t="s">
        <v>4</v>
      </c>
      <c r="D1471" t="s">
        <v>20</v>
      </c>
      <c r="E1471">
        <v>7104</v>
      </c>
    </row>
    <row r="1472" spans="1:5" x14ac:dyDescent="0.25">
      <c r="A1472" t="s">
        <v>349</v>
      </c>
      <c r="B1472" t="s">
        <v>16</v>
      </c>
      <c r="C1472" t="s">
        <v>18</v>
      </c>
      <c r="D1472" t="s">
        <v>20</v>
      </c>
      <c r="E1472">
        <v>482</v>
      </c>
    </row>
    <row r="1473" spans="1:5" x14ac:dyDescent="0.25">
      <c r="A1473" t="s">
        <v>349</v>
      </c>
      <c r="B1473" t="s">
        <v>16</v>
      </c>
      <c r="C1473" t="s">
        <v>5</v>
      </c>
      <c r="D1473" t="s">
        <v>20</v>
      </c>
      <c r="E1473">
        <v>1941</v>
      </c>
    </row>
    <row r="1474" spans="1:5" x14ac:dyDescent="0.25">
      <c r="A1474" t="s">
        <v>349</v>
      </c>
      <c r="B1474" t="s">
        <v>285</v>
      </c>
      <c r="C1474" t="s">
        <v>4</v>
      </c>
      <c r="D1474" t="s">
        <v>20</v>
      </c>
      <c r="E1474">
        <v>3940</v>
      </c>
    </row>
    <row r="1475" spans="1:5" x14ac:dyDescent="0.25">
      <c r="A1475" t="s">
        <v>349</v>
      </c>
      <c r="B1475" t="s">
        <v>285</v>
      </c>
      <c r="C1475" t="s">
        <v>5</v>
      </c>
      <c r="D1475" t="s">
        <v>20</v>
      </c>
      <c r="E1475">
        <v>2788</v>
      </c>
    </row>
    <row r="1476" spans="1:5" x14ac:dyDescent="0.25">
      <c r="A1476" t="s">
        <v>349</v>
      </c>
      <c r="B1476" t="s">
        <v>288</v>
      </c>
      <c r="C1476" t="s">
        <v>4</v>
      </c>
      <c r="D1476" t="s">
        <v>20</v>
      </c>
      <c r="E1476">
        <v>3121</v>
      </c>
    </row>
    <row r="1477" spans="1:5" x14ac:dyDescent="0.25">
      <c r="A1477" t="s">
        <v>349</v>
      </c>
      <c r="B1477" t="s">
        <v>288</v>
      </c>
      <c r="C1477" t="s">
        <v>18</v>
      </c>
      <c r="D1477" t="s">
        <v>20</v>
      </c>
      <c r="E1477">
        <v>227</v>
      </c>
    </row>
    <row r="1478" spans="1:5" x14ac:dyDescent="0.25">
      <c r="A1478" t="s">
        <v>349</v>
      </c>
      <c r="B1478" t="s">
        <v>288</v>
      </c>
      <c r="C1478" t="s">
        <v>5</v>
      </c>
      <c r="D1478" t="s">
        <v>20</v>
      </c>
      <c r="E1478">
        <v>1485</v>
      </c>
    </row>
    <row r="1479" spans="1:5" x14ac:dyDescent="0.25">
      <c r="A1479" t="s">
        <v>349</v>
      </c>
      <c r="B1479" t="s">
        <v>16</v>
      </c>
      <c r="C1479" t="s">
        <v>4</v>
      </c>
      <c r="D1479" t="s">
        <v>42</v>
      </c>
      <c r="E1479">
        <v>221</v>
      </c>
    </row>
    <row r="1480" spans="1:5" x14ac:dyDescent="0.25">
      <c r="A1480" t="s">
        <v>349</v>
      </c>
      <c r="B1480" t="s">
        <v>285</v>
      </c>
      <c r="C1480" t="s">
        <v>4</v>
      </c>
      <c r="D1480" t="s">
        <v>42</v>
      </c>
      <c r="E1480">
        <v>179</v>
      </c>
    </row>
    <row r="1481" spans="1:5" x14ac:dyDescent="0.25">
      <c r="A1481" t="s">
        <v>349</v>
      </c>
      <c r="B1481" t="s">
        <v>288</v>
      </c>
      <c r="C1481" t="s">
        <v>4</v>
      </c>
      <c r="D1481" t="s">
        <v>42</v>
      </c>
      <c r="E1481">
        <v>242</v>
      </c>
    </row>
    <row r="1482" spans="1:5" x14ac:dyDescent="0.25">
      <c r="A1482" t="s">
        <v>349</v>
      </c>
      <c r="B1482" t="s">
        <v>16</v>
      </c>
      <c r="C1482" t="s">
        <v>4</v>
      </c>
      <c r="D1482" t="s">
        <v>43</v>
      </c>
      <c r="E1482">
        <v>2122</v>
      </c>
    </row>
    <row r="1483" spans="1:5" x14ac:dyDescent="0.25">
      <c r="A1483" t="s">
        <v>349</v>
      </c>
      <c r="B1483" t="s">
        <v>16</v>
      </c>
      <c r="C1483" t="s">
        <v>5</v>
      </c>
      <c r="D1483" t="s">
        <v>43</v>
      </c>
      <c r="E1483">
        <v>697</v>
      </c>
    </row>
    <row r="1484" spans="1:5" x14ac:dyDescent="0.25">
      <c r="A1484" t="s">
        <v>349</v>
      </c>
      <c r="B1484" t="s">
        <v>285</v>
      </c>
      <c r="C1484" t="s">
        <v>4</v>
      </c>
      <c r="D1484" t="s">
        <v>43</v>
      </c>
      <c r="E1484">
        <v>210</v>
      </c>
    </row>
    <row r="1485" spans="1:5" x14ac:dyDescent="0.25">
      <c r="A1485" t="s">
        <v>349</v>
      </c>
      <c r="B1485" t="s">
        <v>288</v>
      </c>
      <c r="C1485" t="s">
        <v>4</v>
      </c>
      <c r="D1485" t="s">
        <v>43</v>
      </c>
      <c r="E1485">
        <v>371</v>
      </c>
    </row>
    <row r="1486" spans="1:5" x14ac:dyDescent="0.25">
      <c r="A1486" t="s">
        <v>349</v>
      </c>
      <c r="B1486" t="s">
        <v>288</v>
      </c>
      <c r="C1486" t="s">
        <v>18</v>
      </c>
      <c r="D1486" t="s">
        <v>43</v>
      </c>
      <c r="E1486">
        <v>46</v>
      </c>
    </row>
    <row r="1487" spans="1:5" x14ac:dyDescent="0.25">
      <c r="A1487" t="s">
        <v>349</v>
      </c>
      <c r="B1487" t="s">
        <v>288</v>
      </c>
      <c r="C1487" t="s">
        <v>5</v>
      </c>
      <c r="D1487" t="s">
        <v>43</v>
      </c>
      <c r="E1487">
        <v>325</v>
      </c>
    </row>
    <row r="1488" spans="1:5" x14ac:dyDescent="0.25">
      <c r="A1488" t="s">
        <v>349</v>
      </c>
      <c r="B1488" t="s">
        <v>16</v>
      </c>
      <c r="C1488" t="s">
        <v>4</v>
      </c>
      <c r="D1488" t="s">
        <v>44</v>
      </c>
      <c r="E1488">
        <v>4761</v>
      </c>
    </row>
    <row r="1489" spans="1:5" x14ac:dyDescent="0.25">
      <c r="A1489" t="s">
        <v>349</v>
      </c>
      <c r="B1489" t="s">
        <v>16</v>
      </c>
      <c r="C1489" t="s">
        <v>18</v>
      </c>
      <c r="D1489" t="s">
        <v>44</v>
      </c>
      <c r="E1489">
        <v>482</v>
      </c>
    </row>
    <row r="1490" spans="1:5" x14ac:dyDescent="0.25">
      <c r="A1490" t="s">
        <v>349</v>
      </c>
      <c r="B1490" t="s">
        <v>16</v>
      </c>
      <c r="C1490" t="s">
        <v>5</v>
      </c>
      <c r="D1490" t="s">
        <v>44</v>
      </c>
      <c r="E1490">
        <v>1244</v>
      </c>
    </row>
    <row r="1491" spans="1:5" x14ac:dyDescent="0.25">
      <c r="A1491" t="s">
        <v>349</v>
      </c>
      <c r="B1491" t="s">
        <v>285</v>
      </c>
      <c r="C1491" t="s">
        <v>4</v>
      </c>
      <c r="D1491" t="s">
        <v>44</v>
      </c>
      <c r="E1491">
        <v>3551</v>
      </c>
    </row>
    <row r="1492" spans="1:5" x14ac:dyDescent="0.25">
      <c r="A1492" t="s">
        <v>349</v>
      </c>
      <c r="B1492" t="s">
        <v>285</v>
      </c>
      <c r="C1492" t="s">
        <v>5</v>
      </c>
      <c r="D1492" t="s">
        <v>44</v>
      </c>
      <c r="E1492">
        <v>2788</v>
      </c>
    </row>
    <row r="1493" spans="1:5" x14ac:dyDescent="0.25">
      <c r="A1493" t="s">
        <v>349</v>
      </c>
      <c r="B1493" t="s">
        <v>288</v>
      </c>
      <c r="C1493" t="s">
        <v>4</v>
      </c>
      <c r="D1493" t="s">
        <v>44</v>
      </c>
      <c r="E1493">
        <v>2508</v>
      </c>
    </row>
    <row r="1494" spans="1:5" x14ac:dyDescent="0.25">
      <c r="A1494" t="s">
        <v>349</v>
      </c>
      <c r="B1494" t="s">
        <v>288</v>
      </c>
      <c r="C1494" t="s">
        <v>18</v>
      </c>
      <c r="D1494" t="s">
        <v>44</v>
      </c>
      <c r="E1494">
        <v>181</v>
      </c>
    </row>
    <row r="1495" spans="1:5" x14ac:dyDescent="0.25">
      <c r="A1495" t="s">
        <v>349</v>
      </c>
      <c r="B1495" t="s">
        <v>288</v>
      </c>
      <c r="C1495" t="s">
        <v>5</v>
      </c>
      <c r="D1495" t="s">
        <v>44</v>
      </c>
      <c r="E1495">
        <v>1160</v>
      </c>
    </row>
    <row r="1496" spans="1:5" x14ac:dyDescent="0.25">
      <c r="A1496" t="s">
        <v>349</v>
      </c>
      <c r="B1496" t="s">
        <v>16</v>
      </c>
      <c r="C1496" t="s">
        <v>4</v>
      </c>
      <c r="D1496" t="s">
        <v>21</v>
      </c>
      <c r="E1496">
        <v>0.93993994000000003</v>
      </c>
    </row>
    <row r="1497" spans="1:5" x14ac:dyDescent="0.25">
      <c r="A1497" t="s">
        <v>349</v>
      </c>
      <c r="B1497" t="s">
        <v>16</v>
      </c>
      <c r="C1497" t="s">
        <v>18</v>
      </c>
      <c r="D1497" t="s">
        <v>21</v>
      </c>
      <c r="E1497">
        <v>0.49229074900000003</v>
      </c>
    </row>
    <row r="1498" spans="1:5" x14ac:dyDescent="0.25">
      <c r="A1498" t="s">
        <v>349</v>
      </c>
      <c r="B1498" t="s">
        <v>16</v>
      </c>
      <c r="C1498" t="s">
        <v>5</v>
      </c>
      <c r="D1498" t="s">
        <v>21</v>
      </c>
      <c r="E1498">
        <v>0.96556590499999995</v>
      </c>
    </row>
    <row r="1499" spans="1:5" x14ac:dyDescent="0.25">
      <c r="A1499" t="s">
        <v>349</v>
      </c>
      <c r="B1499" t="s">
        <v>285</v>
      </c>
      <c r="C1499" t="s">
        <v>4</v>
      </c>
      <c r="D1499" t="s">
        <v>21</v>
      </c>
      <c r="E1499">
        <v>0.427864364</v>
      </c>
    </row>
    <row r="1500" spans="1:5" x14ac:dyDescent="0.25">
      <c r="A1500" t="s">
        <v>349</v>
      </c>
      <c r="B1500" t="s">
        <v>285</v>
      </c>
      <c r="C1500" t="s">
        <v>5</v>
      </c>
      <c r="D1500" t="s">
        <v>21</v>
      </c>
      <c r="E1500">
        <v>0.31230863399999997</v>
      </c>
    </row>
    <row r="1501" spans="1:5" x14ac:dyDescent="0.25">
      <c r="A1501" t="s">
        <v>349</v>
      </c>
      <c r="B1501" t="s">
        <v>288</v>
      </c>
      <c r="C1501" t="s">
        <v>4</v>
      </c>
      <c r="D1501" t="s">
        <v>21</v>
      </c>
      <c r="E1501">
        <v>0.91032122579139774</v>
      </c>
    </row>
    <row r="1502" spans="1:5" x14ac:dyDescent="0.25">
      <c r="A1502" t="s">
        <v>349</v>
      </c>
      <c r="B1502" t="s">
        <v>288</v>
      </c>
      <c r="C1502" t="s">
        <v>18</v>
      </c>
      <c r="D1502" t="s">
        <v>21</v>
      </c>
      <c r="E1502">
        <v>0.97427652733118975</v>
      </c>
    </row>
    <row r="1503" spans="1:5" x14ac:dyDescent="0.25">
      <c r="A1503" t="s">
        <v>349</v>
      </c>
      <c r="B1503" t="s">
        <v>288</v>
      </c>
      <c r="C1503" t="s">
        <v>5</v>
      </c>
      <c r="D1503" t="s">
        <v>21</v>
      </c>
      <c r="E1503">
        <v>0.93134944018856802</v>
      </c>
    </row>
    <row r="1504" spans="1:5" x14ac:dyDescent="0.25">
      <c r="A1504" t="s">
        <v>349</v>
      </c>
      <c r="B1504" t="s">
        <v>16</v>
      </c>
      <c r="C1504" t="s">
        <v>4</v>
      </c>
      <c r="D1504" t="s">
        <v>22</v>
      </c>
      <c r="E1504">
        <v>0.101204819</v>
      </c>
    </row>
    <row r="1505" spans="1:5" x14ac:dyDescent="0.25">
      <c r="A1505" t="s">
        <v>349</v>
      </c>
      <c r="B1505" t="s">
        <v>16</v>
      </c>
      <c r="C1505" t="s">
        <v>18</v>
      </c>
      <c r="D1505" t="s">
        <v>22</v>
      </c>
      <c r="E1505">
        <v>0.120627262</v>
      </c>
    </row>
    <row r="1506" spans="1:5" x14ac:dyDescent="0.25">
      <c r="A1506" t="s">
        <v>349</v>
      </c>
      <c r="B1506" t="s">
        <v>16</v>
      </c>
      <c r="C1506" t="s">
        <v>5</v>
      </c>
      <c r="D1506" t="s">
        <v>22</v>
      </c>
      <c r="E1506">
        <v>5.8287203000000003E-2</v>
      </c>
    </row>
    <row r="1507" spans="1:5" x14ac:dyDescent="0.25">
      <c r="A1507" t="s">
        <v>349</v>
      </c>
      <c r="B1507" t="s">
        <v>285</v>
      </c>
      <c r="C1507" t="s">
        <v>4</v>
      </c>
      <c r="D1507" t="s">
        <v>22</v>
      </c>
      <c r="E1507">
        <v>8.5635064999999996E-2</v>
      </c>
    </row>
    <row r="1508" spans="1:5" x14ac:dyDescent="0.25">
      <c r="A1508" t="s">
        <v>349</v>
      </c>
      <c r="B1508" t="s">
        <v>285</v>
      </c>
      <c r="C1508" t="s">
        <v>5</v>
      </c>
      <c r="D1508" t="s">
        <v>22</v>
      </c>
      <c r="E1508">
        <v>7.0116349999999994E-2</v>
      </c>
    </row>
    <row r="1509" spans="1:5" x14ac:dyDescent="0.25">
      <c r="A1509" t="s">
        <v>349</v>
      </c>
      <c r="B1509" t="s">
        <v>288</v>
      </c>
      <c r="C1509" t="s">
        <v>4</v>
      </c>
      <c r="D1509" t="s">
        <v>22</v>
      </c>
      <c r="E1509">
        <v>6.0969716494845359E-2</v>
      </c>
    </row>
    <row r="1510" spans="1:5" x14ac:dyDescent="0.25">
      <c r="A1510" t="s">
        <v>349</v>
      </c>
      <c r="B1510" t="s">
        <v>288</v>
      </c>
      <c r="C1510" t="s">
        <v>18</v>
      </c>
      <c r="D1510" t="s">
        <v>22</v>
      </c>
      <c r="E1510">
        <v>3.7330316742081447E-2</v>
      </c>
    </row>
    <row r="1511" spans="1:5" x14ac:dyDescent="0.25">
      <c r="A1511" t="s">
        <v>349</v>
      </c>
      <c r="B1511" t="s">
        <v>288</v>
      </c>
      <c r="C1511" t="s">
        <v>5</v>
      </c>
      <c r="D1511" t="s">
        <v>22</v>
      </c>
      <c r="E1511">
        <v>0.10700992555831264</v>
      </c>
    </row>
    <row r="1512" spans="1:5" x14ac:dyDescent="0.25">
      <c r="A1512" t="s">
        <v>349</v>
      </c>
      <c r="B1512" t="s">
        <v>16</v>
      </c>
      <c r="C1512" t="s">
        <v>4</v>
      </c>
      <c r="D1512" t="s">
        <v>23</v>
      </c>
      <c r="E1512">
        <v>0.21301204800000001</v>
      </c>
    </row>
    <row r="1513" spans="1:5" x14ac:dyDescent="0.25">
      <c r="A1513" t="s">
        <v>349</v>
      </c>
      <c r="B1513" t="s">
        <v>16</v>
      </c>
      <c r="C1513" t="s">
        <v>18</v>
      </c>
      <c r="D1513" t="s">
        <v>23</v>
      </c>
      <c r="E1513">
        <v>0.377563329</v>
      </c>
    </row>
    <row r="1514" spans="1:5" x14ac:dyDescent="0.25">
      <c r="A1514" t="s">
        <v>349</v>
      </c>
      <c r="B1514" t="s">
        <v>16</v>
      </c>
      <c r="C1514" t="s">
        <v>5</v>
      </c>
      <c r="D1514" t="s">
        <v>23</v>
      </c>
      <c r="E1514">
        <v>0.25854770399999999</v>
      </c>
    </row>
    <row r="1515" spans="1:5" x14ac:dyDescent="0.25">
      <c r="A1515" t="s">
        <v>349</v>
      </c>
      <c r="B1515" t="s">
        <v>285</v>
      </c>
      <c r="C1515" t="s">
        <v>4</v>
      </c>
      <c r="D1515" t="s">
        <v>23</v>
      </c>
      <c r="E1515">
        <v>0.39021008899999998</v>
      </c>
    </row>
    <row r="1516" spans="1:5" x14ac:dyDescent="0.25">
      <c r="A1516" t="s">
        <v>349</v>
      </c>
      <c r="B1516" t="s">
        <v>285</v>
      </c>
      <c r="C1516" t="s">
        <v>5</v>
      </c>
      <c r="D1516" t="s">
        <v>23</v>
      </c>
      <c r="E1516">
        <v>0.113900796</v>
      </c>
    </row>
    <row r="1517" spans="1:5" x14ac:dyDescent="0.25">
      <c r="A1517" t="s">
        <v>349</v>
      </c>
      <c r="B1517" t="s">
        <v>288</v>
      </c>
      <c r="C1517" t="s">
        <v>4</v>
      </c>
      <c r="D1517" t="s">
        <v>23</v>
      </c>
      <c r="E1517">
        <v>0.43693621134020616</v>
      </c>
    </row>
    <row r="1518" spans="1:5" x14ac:dyDescent="0.25">
      <c r="A1518" t="s">
        <v>349</v>
      </c>
      <c r="B1518" t="s">
        <v>288</v>
      </c>
      <c r="C1518" t="s">
        <v>18</v>
      </c>
      <c r="D1518" t="s">
        <v>23</v>
      </c>
      <c r="E1518">
        <v>0.3981900452488687</v>
      </c>
    </row>
    <row r="1519" spans="1:5" x14ac:dyDescent="0.25">
      <c r="A1519" t="s">
        <v>349</v>
      </c>
      <c r="B1519" t="s">
        <v>288</v>
      </c>
      <c r="C1519" t="s">
        <v>5</v>
      </c>
      <c r="D1519" t="s">
        <v>23</v>
      </c>
      <c r="E1519">
        <v>0.28132754342431759</v>
      </c>
    </row>
    <row r="1520" spans="1:5" x14ac:dyDescent="0.25">
      <c r="A1520" t="s">
        <v>349</v>
      </c>
      <c r="B1520" t="s">
        <v>16</v>
      </c>
      <c r="C1520" t="s">
        <v>4</v>
      </c>
      <c r="D1520" t="s">
        <v>621</v>
      </c>
      <c r="E1520">
        <v>0.68578313300000004</v>
      </c>
    </row>
    <row r="1521" spans="1:5" x14ac:dyDescent="0.25">
      <c r="A1521" t="s">
        <v>349</v>
      </c>
      <c r="B1521" t="s">
        <v>16</v>
      </c>
      <c r="C1521" t="s">
        <v>18</v>
      </c>
      <c r="D1521" t="s">
        <v>621</v>
      </c>
      <c r="E1521">
        <v>0.50180940900000004</v>
      </c>
    </row>
    <row r="1522" spans="1:5" x14ac:dyDescent="0.25">
      <c r="A1522" t="s">
        <v>349</v>
      </c>
      <c r="B1522" t="s">
        <v>16</v>
      </c>
      <c r="C1522" t="s">
        <v>5</v>
      </c>
      <c r="D1522" t="s">
        <v>621</v>
      </c>
      <c r="E1522">
        <v>0.68316509299999995</v>
      </c>
    </row>
    <row r="1523" spans="1:5" x14ac:dyDescent="0.25">
      <c r="A1523" t="s">
        <v>349</v>
      </c>
      <c r="B1523" t="s">
        <v>285</v>
      </c>
      <c r="C1523" t="s">
        <v>4</v>
      </c>
      <c r="D1523" t="s">
        <v>621</v>
      </c>
      <c r="E1523">
        <v>0.52415484700000003</v>
      </c>
    </row>
    <row r="1524" spans="1:5" x14ac:dyDescent="0.25">
      <c r="A1524" t="s">
        <v>349</v>
      </c>
      <c r="B1524" t="s">
        <v>285</v>
      </c>
      <c r="C1524" t="s">
        <v>5</v>
      </c>
      <c r="D1524" t="s">
        <v>621</v>
      </c>
      <c r="E1524">
        <v>0.81598285400000004</v>
      </c>
    </row>
    <row r="1525" spans="1:5" x14ac:dyDescent="0.25">
      <c r="A1525" t="s">
        <v>349</v>
      </c>
      <c r="B1525" t="s">
        <v>288</v>
      </c>
      <c r="C1525" t="s">
        <v>4</v>
      </c>
      <c r="D1525" t="s">
        <v>621</v>
      </c>
      <c r="E1525">
        <v>0.5020940721649485</v>
      </c>
    </row>
    <row r="1526" spans="1:5" x14ac:dyDescent="0.25">
      <c r="A1526" t="s">
        <v>349</v>
      </c>
      <c r="B1526" t="s">
        <v>288</v>
      </c>
      <c r="C1526" t="s">
        <v>18</v>
      </c>
      <c r="D1526" t="s">
        <v>621</v>
      </c>
      <c r="E1526">
        <v>0.56447963800904977</v>
      </c>
    </row>
    <row r="1527" spans="1:5" x14ac:dyDescent="0.25">
      <c r="A1527" t="s">
        <v>349</v>
      </c>
      <c r="B1527" t="s">
        <v>288</v>
      </c>
      <c r="C1527" t="s">
        <v>5</v>
      </c>
      <c r="D1527" t="s">
        <v>621</v>
      </c>
      <c r="E1527">
        <v>0.61166253101736978</v>
      </c>
    </row>
    <row r="1528" spans="1:5" x14ac:dyDescent="0.25">
      <c r="A1528" t="s">
        <v>349</v>
      </c>
      <c r="B1528" t="s">
        <v>16</v>
      </c>
      <c r="C1528" t="s">
        <v>5</v>
      </c>
      <c r="D1528" t="s">
        <v>256</v>
      </c>
      <c r="E1528" t="s">
        <v>283</v>
      </c>
    </row>
    <row r="1529" spans="1:5" x14ac:dyDescent="0.25">
      <c r="A1529" t="s">
        <v>349</v>
      </c>
      <c r="B1529" t="s">
        <v>16</v>
      </c>
      <c r="C1529" t="s">
        <v>4</v>
      </c>
      <c r="D1529" t="s">
        <v>24</v>
      </c>
      <c r="E1529">
        <v>294.73</v>
      </c>
    </row>
    <row r="1530" spans="1:5" x14ac:dyDescent="0.25">
      <c r="A1530" t="s">
        <v>349</v>
      </c>
      <c r="B1530" t="s">
        <v>16</v>
      </c>
      <c r="C1530" t="s">
        <v>18</v>
      </c>
      <c r="D1530" t="s">
        <v>24</v>
      </c>
      <c r="E1530">
        <v>103.75</v>
      </c>
    </row>
    <row r="1531" spans="1:5" x14ac:dyDescent="0.25">
      <c r="A1531" t="s">
        <v>349</v>
      </c>
      <c r="B1531" t="s">
        <v>16</v>
      </c>
      <c r="C1531" t="s">
        <v>5</v>
      </c>
      <c r="D1531" t="s">
        <v>24</v>
      </c>
      <c r="E1531">
        <v>158.71</v>
      </c>
    </row>
    <row r="1532" spans="1:5" x14ac:dyDescent="0.25">
      <c r="A1532" t="s">
        <v>349</v>
      </c>
      <c r="B1532" t="s">
        <v>285</v>
      </c>
      <c r="C1532" t="s">
        <v>4</v>
      </c>
      <c r="D1532" t="s">
        <v>24</v>
      </c>
      <c r="E1532">
        <v>300.10000000000002</v>
      </c>
    </row>
    <row r="1533" spans="1:5" x14ac:dyDescent="0.25">
      <c r="A1533" t="s">
        <v>349</v>
      </c>
      <c r="B1533" t="s">
        <v>285</v>
      </c>
      <c r="C1533" t="s">
        <v>18</v>
      </c>
      <c r="D1533" t="s">
        <v>24</v>
      </c>
      <c r="E1533">
        <v>14.03</v>
      </c>
    </row>
    <row r="1534" spans="1:5" x14ac:dyDescent="0.25">
      <c r="A1534" t="s">
        <v>349</v>
      </c>
      <c r="B1534" t="s">
        <v>285</v>
      </c>
      <c r="C1534" t="s">
        <v>5</v>
      </c>
      <c r="D1534" t="s">
        <v>24</v>
      </c>
      <c r="E1534">
        <v>213.33</v>
      </c>
    </row>
    <row r="1535" spans="1:5" x14ac:dyDescent="0.25">
      <c r="A1535" t="s">
        <v>349</v>
      </c>
      <c r="B1535" t="s">
        <v>288</v>
      </c>
      <c r="C1535" t="s">
        <v>4</v>
      </c>
      <c r="D1535" t="s">
        <v>24</v>
      </c>
      <c r="E1535">
        <v>156.75</v>
      </c>
    </row>
    <row r="1536" spans="1:5" x14ac:dyDescent="0.25">
      <c r="A1536" t="s">
        <v>349</v>
      </c>
      <c r="B1536" t="s">
        <v>288</v>
      </c>
      <c r="C1536" t="s">
        <v>18</v>
      </c>
      <c r="D1536" t="s">
        <v>24</v>
      </c>
      <c r="E1536">
        <v>5.2399999999999993</v>
      </c>
    </row>
    <row r="1537" spans="1:5" x14ac:dyDescent="0.25">
      <c r="A1537" t="s">
        <v>349</v>
      </c>
      <c r="B1537" t="s">
        <v>288</v>
      </c>
      <c r="C1537" t="s">
        <v>5</v>
      </c>
      <c r="D1537" t="s">
        <v>24</v>
      </c>
      <c r="E1537">
        <v>76.73</v>
      </c>
    </row>
    <row r="1538" spans="1:5" x14ac:dyDescent="0.25">
      <c r="A1538" t="s">
        <v>349</v>
      </c>
      <c r="B1538" t="s">
        <v>16</v>
      </c>
      <c r="C1538" t="s">
        <v>19</v>
      </c>
      <c r="D1538" t="s">
        <v>45</v>
      </c>
      <c r="E1538">
        <v>1885799</v>
      </c>
    </row>
    <row r="1539" spans="1:5" x14ac:dyDescent="0.25">
      <c r="A1539" t="s">
        <v>349</v>
      </c>
      <c r="B1539" t="s">
        <v>285</v>
      </c>
      <c r="C1539" t="s">
        <v>19</v>
      </c>
      <c r="D1539" t="s">
        <v>45</v>
      </c>
      <c r="E1539">
        <v>1601493</v>
      </c>
    </row>
    <row r="1540" spans="1:5" x14ac:dyDescent="0.25">
      <c r="A1540" t="s">
        <v>349</v>
      </c>
      <c r="B1540" t="s">
        <v>288</v>
      </c>
      <c r="C1540" t="s">
        <v>19</v>
      </c>
      <c r="D1540" t="s">
        <v>45</v>
      </c>
      <c r="E1540">
        <v>1513729</v>
      </c>
    </row>
    <row r="1541" spans="1:5" x14ac:dyDescent="0.25">
      <c r="A1541" t="s">
        <v>349</v>
      </c>
      <c r="B1541" t="s">
        <v>16</v>
      </c>
      <c r="C1541" t="s">
        <v>19</v>
      </c>
      <c r="D1541" t="s">
        <v>46</v>
      </c>
      <c r="E1541">
        <v>35043</v>
      </c>
    </row>
    <row r="1542" spans="1:5" x14ac:dyDescent="0.25">
      <c r="A1542" t="s">
        <v>349</v>
      </c>
      <c r="B1542" t="s">
        <v>285</v>
      </c>
      <c r="C1542" t="s">
        <v>19</v>
      </c>
      <c r="D1542" t="s">
        <v>46</v>
      </c>
      <c r="E1542">
        <v>29461</v>
      </c>
    </row>
    <row r="1543" spans="1:5" x14ac:dyDescent="0.25">
      <c r="A1543" t="s">
        <v>349</v>
      </c>
      <c r="B1543" t="s">
        <v>288</v>
      </c>
      <c r="C1543" t="s">
        <v>19</v>
      </c>
      <c r="D1543" t="s">
        <v>46</v>
      </c>
      <c r="E1543">
        <v>29631</v>
      </c>
    </row>
    <row r="1544" spans="1:5" x14ac:dyDescent="0.25">
      <c r="A1544" t="s">
        <v>405</v>
      </c>
      <c r="B1544" t="s">
        <v>16</v>
      </c>
      <c r="C1544" t="s">
        <v>4</v>
      </c>
      <c r="D1544" t="s">
        <v>226</v>
      </c>
      <c r="E1544">
        <v>346990.60757575731</v>
      </c>
    </row>
    <row r="1545" spans="1:5" x14ac:dyDescent="0.25">
      <c r="A1545" t="s">
        <v>405</v>
      </c>
      <c r="B1545" t="s">
        <v>16</v>
      </c>
      <c r="C1545" t="s">
        <v>18</v>
      </c>
      <c r="D1545" t="s">
        <v>226</v>
      </c>
      <c r="E1545">
        <v>35344.931818181802</v>
      </c>
    </row>
    <row r="1546" spans="1:5" x14ac:dyDescent="0.25">
      <c r="A1546" t="s">
        <v>405</v>
      </c>
      <c r="B1546" t="s">
        <v>16</v>
      </c>
      <c r="C1546" t="s">
        <v>5</v>
      </c>
      <c r="D1546" t="s">
        <v>226</v>
      </c>
      <c r="E1546">
        <v>352954.76893939369</v>
      </c>
    </row>
    <row r="1547" spans="1:5" x14ac:dyDescent="0.25">
      <c r="A1547" t="s">
        <v>405</v>
      </c>
      <c r="B1547" t="s">
        <v>16</v>
      </c>
      <c r="C1547" t="s">
        <v>4</v>
      </c>
      <c r="D1547" t="s">
        <v>48</v>
      </c>
      <c r="E1547">
        <v>86365.009343434489</v>
      </c>
    </row>
    <row r="1548" spans="1:5" x14ac:dyDescent="0.25">
      <c r="A1548" t="s">
        <v>405</v>
      </c>
      <c r="B1548" t="s">
        <v>16</v>
      </c>
      <c r="C1548" t="s">
        <v>5</v>
      </c>
      <c r="D1548" t="s">
        <v>48</v>
      </c>
      <c r="E1548">
        <v>37741.240043290032</v>
      </c>
    </row>
    <row r="1549" spans="1:5" x14ac:dyDescent="0.25">
      <c r="A1549" t="s">
        <v>405</v>
      </c>
      <c r="B1549" t="s">
        <v>285</v>
      </c>
      <c r="C1549" t="s">
        <v>4</v>
      </c>
      <c r="D1549" t="s">
        <v>48</v>
      </c>
      <c r="E1549">
        <v>115603.61417748911</v>
      </c>
    </row>
    <row r="1550" spans="1:5" x14ac:dyDescent="0.25">
      <c r="A1550" t="s">
        <v>405</v>
      </c>
      <c r="B1550" t="s">
        <v>285</v>
      </c>
      <c r="C1550" t="s">
        <v>5</v>
      </c>
      <c r="D1550" t="s">
        <v>48</v>
      </c>
      <c r="E1550">
        <v>58431.468398268422</v>
      </c>
    </row>
    <row r="1551" spans="1:5" x14ac:dyDescent="0.25">
      <c r="A1551" t="s">
        <v>405</v>
      </c>
      <c r="B1551" t="s">
        <v>288</v>
      </c>
      <c r="C1551" t="s">
        <v>4</v>
      </c>
      <c r="D1551" t="s">
        <v>48</v>
      </c>
      <c r="E1551">
        <v>64629.497763347754</v>
      </c>
    </row>
    <row r="1552" spans="1:5" x14ac:dyDescent="0.25">
      <c r="A1552" t="s">
        <v>405</v>
      </c>
      <c r="B1552" t="s">
        <v>288</v>
      </c>
      <c r="C1552" t="s">
        <v>18</v>
      </c>
      <c r="D1552" t="s">
        <v>48</v>
      </c>
      <c r="E1552">
        <v>5913.9224747474727</v>
      </c>
    </row>
    <row r="1553" spans="1:5" x14ac:dyDescent="0.25">
      <c r="A1553" t="s">
        <v>405</v>
      </c>
      <c r="B1553" t="s">
        <v>16</v>
      </c>
      <c r="C1553" t="s">
        <v>4</v>
      </c>
      <c r="D1553" t="s">
        <v>227</v>
      </c>
      <c r="E1553">
        <v>97309.724747474815</v>
      </c>
    </row>
    <row r="1554" spans="1:5" x14ac:dyDescent="0.25">
      <c r="A1554" t="s">
        <v>405</v>
      </c>
      <c r="B1554" t="s">
        <v>16</v>
      </c>
      <c r="C1554" t="s">
        <v>18</v>
      </c>
      <c r="D1554" t="s">
        <v>227</v>
      </c>
      <c r="E1554">
        <v>15421.181240981236</v>
      </c>
    </row>
    <row r="1555" spans="1:5" x14ac:dyDescent="0.25">
      <c r="A1555" t="s">
        <v>405</v>
      </c>
      <c r="B1555" t="s">
        <v>16</v>
      </c>
      <c r="C1555" t="s">
        <v>5</v>
      </c>
      <c r="D1555" t="s">
        <v>227</v>
      </c>
      <c r="E1555">
        <v>41593.387914862942</v>
      </c>
    </row>
    <row r="1556" spans="1:5" x14ac:dyDescent="0.25">
      <c r="A1556" t="s">
        <v>405</v>
      </c>
      <c r="B1556" t="s">
        <v>285</v>
      </c>
      <c r="C1556" t="s">
        <v>4</v>
      </c>
      <c r="D1556" t="s">
        <v>227</v>
      </c>
      <c r="E1556">
        <v>104270.23520923519</v>
      </c>
    </row>
    <row r="1557" spans="1:5" x14ac:dyDescent="0.25">
      <c r="A1557" t="s">
        <v>405</v>
      </c>
      <c r="B1557" t="s">
        <v>285</v>
      </c>
      <c r="C1557" t="s">
        <v>5</v>
      </c>
      <c r="D1557" t="s">
        <v>227</v>
      </c>
      <c r="E1557">
        <v>52945.667243867283</v>
      </c>
    </row>
    <row r="1558" spans="1:5" x14ac:dyDescent="0.25">
      <c r="A1558" t="s">
        <v>405</v>
      </c>
      <c r="B1558" t="s">
        <v>288</v>
      </c>
      <c r="C1558" t="s">
        <v>4</v>
      </c>
      <c r="D1558" t="s">
        <v>227</v>
      </c>
      <c r="E1558">
        <v>101819.69927849928</v>
      </c>
    </row>
    <row r="1559" spans="1:5" x14ac:dyDescent="0.25">
      <c r="A1559" t="s">
        <v>405</v>
      </c>
      <c r="B1559" t="s">
        <v>288</v>
      </c>
      <c r="C1559" t="s">
        <v>18</v>
      </c>
      <c r="D1559" t="s">
        <v>227</v>
      </c>
      <c r="E1559">
        <v>14529.608333333324</v>
      </c>
    </row>
    <row r="1560" spans="1:5" x14ac:dyDescent="0.25">
      <c r="A1560" t="s">
        <v>405</v>
      </c>
      <c r="B1560" t="s">
        <v>288</v>
      </c>
      <c r="C1560" t="s">
        <v>5</v>
      </c>
      <c r="D1560" t="s">
        <v>227</v>
      </c>
      <c r="E1560">
        <v>87478.437770562843</v>
      </c>
    </row>
    <row r="1561" spans="1:5" x14ac:dyDescent="0.25">
      <c r="A1561" t="s">
        <v>405</v>
      </c>
      <c r="B1561" t="s">
        <v>285</v>
      </c>
      <c r="C1561" t="s">
        <v>4</v>
      </c>
      <c r="D1561" t="s">
        <v>290</v>
      </c>
      <c r="E1561">
        <v>32362.157395382397</v>
      </c>
    </row>
    <row r="1562" spans="1:5" x14ac:dyDescent="0.25">
      <c r="A1562" t="s">
        <v>405</v>
      </c>
      <c r="B1562" t="s">
        <v>288</v>
      </c>
      <c r="C1562" t="s">
        <v>4</v>
      </c>
      <c r="D1562" t="s">
        <v>290</v>
      </c>
      <c r="E1562">
        <v>85536.221969696926</v>
      </c>
    </row>
    <row r="1563" spans="1:5" x14ac:dyDescent="0.25">
      <c r="A1563" t="s">
        <v>405</v>
      </c>
      <c r="B1563" t="s">
        <v>288</v>
      </c>
      <c r="C1563" t="s">
        <v>18</v>
      </c>
      <c r="D1563" t="s">
        <v>290</v>
      </c>
      <c r="E1563">
        <v>11423.348484848484</v>
      </c>
    </row>
    <row r="1564" spans="1:5" x14ac:dyDescent="0.25">
      <c r="A1564" t="s">
        <v>405</v>
      </c>
      <c r="B1564" t="s">
        <v>288</v>
      </c>
      <c r="C1564" t="s">
        <v>5</v>
      </c>
      <c r="D1564" t="s">
        <v>290</v>
      </c>
      <c r="E1564">
        <v>121304.77929292928</v>
      </c>
    </row>
    <row r="1565" spans="1:5" x14ac:dyDescent="0.25">
      <c r="A1565" t="s">
        <v>405</v>
      </c>
      <c r="B1565" t="s">
        <v>16</v>
      </c>
      <c r="C1565" t="s">
        <v>4</v>
      </c>
      <c r="D1565" t="s">
        <v>49</v>
      </c>
      <c r="E1565">
        <v>181890.01165223695</v>
      </c>
    </row>
    <row r="1566" spans="1:5" x14ac:dyDescent="0.25">
      <c r="A1566" t="s">
        <v>405</v>
      </c>
      <c r="B1566" t="s">
        <v>16</v>
      </c>
      <c r="C1566" t="s">
        <v>18</v>
      </c>
      <c r="D1566" t="s">
        <v>49</v>
      </c>
      <c r="E1566">
        <v>13562.544372294373</v>
      </c>
    </row>
    <row r="1567" spans="1:5" x14ac:dyDescent="0.25">
      <c r="A1567" t="s">
        <v>405</v>
      </c>
      <c r="B1567" t="s">
        <v>16</v>
      </c>
      <c r="C1567" t="s">
        <v>5</v>
      </c>
      <c r="D1567" t="s">
        <v>49</v>
      </c>
      <c r="E1567">
        <v>85053.138888888832</v>
      </c>
    </row>
    <row r="1568" spans="1:5" x14ac:dyDescent="0.25">
      <c r="A1568" t="s">
        <v>405</v>
      </c>
      <c r="B1568" t="s">
        <v>285</v>
      </c>
      <c r="C1568" t="s">
        <v>4</v>
      </c>
      <c r="D1568" t="s">
        <v>49</v>
      </c>
      <c r="E1568">
        <v>117076.25743145742</v>
      </c>
    </row>
    <row r="1569" spans="1:5" x14ac:dyDescent="0.25">
      <c r="A1569" t="s">
        <v>405</v>
      </c>
      <c r="B1569" t="s">
        <v>285</v>
      </c>
      <c r="C1569" t="s">
        <v>5</v>
      </c>
      <c r="D1569" t="s">
        <v>49</v>
      </c>
      <c r="E1569">
        <v>109482.12932900434</v>
      </c>
    </row>
    <row r="1570" spans="1:5" x14ac:dyDescent="0.25">
      <c r="A1570" t="s">
        <v>405</v>
      </c>
      <c r="B1570" t="s">
        <v>288</v>
      </c>
      <c r="C1570" t="s">
        <v>4</v>
      </c>
      <c r="D1570" t="s">
        <v>49</v>
      </c>
      <c r="E1570">
        <v>169511.52146464644</v>
      </c>
    </row>
    <row r="1571" spans="1:5" x14ac:dyDescent="0.25">
      <c r="A1571" t="s">
        <v>405</v>
      </c>
      <c r="B1571" t="s">
        <v>288</v>
      </c>
      <c r="C1571" t="s">
        <v>18</v>
      </c>
      <c r="D1571" t="s">
        <v>49</v>
      </c>
      <c r="E1571">
        <v>14381.4909090909</v>
      </c>
    </row>
    <row r="1572" spans="1:5" x14ac:dyDescent="0.25">
      <c r="A1572" t="s">
        <v>405</v>
      </c>
      <c r="B1572" t="s">
        <v>288</v>
      </c>
      <c r="C1572" t="s">
        <v>5</v>
      </c>
      <c r="D1572" t="s">
        <v>49</v>
      </c>
      <c r="E1572">
        <v>64887.879292929269</v>
      </c>
    </row>
    <row r="1573" spans="1:5" x14ac:dyDescent="0.25">
      <c r="A1573" t="s">
        <v>405</v>
      </c>
      <c r="B1573" t="s">
        <v>16</v>
      </c>
      <c r="C1573" t="s">
        <v>4</v>
      </c>
      <c r="D1573" t="s">
        <v>228</v>
      </c>
      <c r="E1573">
        <v>91513.961796536969</v>
      </c>
    </row>
    <row r="1574" spans="1:5" x14ac:dyDescent="0.25">
      <c r="A1574" t="s">
        <v>405</v>
      </c>
      <c r="B1574" t="s">
        <v>285</v>
      </c>
      <c r="C1574" t="s">
        <v>4</v>
      </c>
      <c r="D1574" t="s">
        <v>228</v>
      </c>
      <c r="E1574">
        <v>84335.087698412754</v>
      </c>
    </row>
    <row r="1575" spans="1:5" x14ac:dyDescent="0.25">
      <c r="A1575" t="s">
        <v>405</v>
      </c>
      <c r="B1575" t="s">
        <v>285</v>
      </c>
      <c r="C1575" t="s">
        <v>5</v>
      </c>
      <c r="D1575" t="s">
        <v>228</v>
      </c>
      <c r="E1575">
        <v>26147.950757575771</v>
      </c>
    </row>
    <row r="1576" spans="1:5" x14ac:dyDescent="0.25">
      <c r="A1576" t="s">
        <v>405</v>
      </c>
      <c r="B1576" t="s">
        <v>288</v>
      </c>
      <c r="C1576" t="s">
        <v>4</v>
      </c>
      <c r="D1576" t="s">
        <v>228</v>
      </c>
      <c r="E1576">
        <v>16294.653030303032</v>
      </c>
    </row>
    <row r="1577" spans="1:5" x14ac:dyDescent="0.25">
      <c r="A1577" t="s">
        <v>405</v>
      </c>
      <c r="B1577" t="s">
        <v>288</v>
      </c>
      <c r="C1577" t="s">
        <v>18</v>
      </c>
      <c r="D1577" t="s">
        <v>228</v>
      </c>
      <c r="E1577">
        <v>8265.2297979798004</v>
      </c>
    </row>
    <row r="1578" spans="1:5" x14ac:dyDescent="0.25">
      <c r="A1578" t="s">
        <v>405</v>
      </c>
      <c r="B1578" t="s">
        <v>288</v>
      </c>
      <c r="C1578" t="s">
        <v>5</v>
      </c>
      <c r="D1578" t="s">
        <v>228</v>
      </c>
      <c r="E1578">
        <v>15647.751515151513</v>
      </c>
    </row>
    <row r="1579" spans="1:5" x14ac:dyDescent="0.25">
      <c r="A1579" t="s">
        <v>405</v>
      </c>
      <c r="B1579" t="s">
        <v>16</v>
      </c>
      <c r="C1579" t="s">
        <v>4</v>
      </c>
      <c r="D1579" t="s">
        <v>229</v>
      </c>
      <c r="E1579">
        <v>131527.27691197689</v>
      </c>
    </row>
    <row r="1580" spans="1:5" x14ac:dyDescent="0.25">
      <c r="A1580" t="s">
        <v>405</v>
      </c>
      <c r="B1580" t="s">
        <v>16</v>
      </c>
      <c r="C1580" t="s">
        <v>18</v>
      </c>
      <c r="D1580" t="s">
        <v>229</v>
      </c>
      <c r="E1580">
        <v>11369.100000000004</v>
      </c>
    </row>
    <row r="1581" spans="1:5" x14ac:dyDescent="0.25">
      <c r="A1581" t="s">
        <v>405</v>
      </c>
      <c r="B1581" t="s">
        <v>16</v>
      </c>
      <c r="C1581" t="s">
        <v>5</v>
      </c>
      <c r="D1581" t="s">
        <v>229</v>
      </c>
      <c r="E1581">
        <v>69555.767424242411</v>
      </c>
    </row>
    <row r="1582" spans="1:5" x14ac:dyDescent="0.25">
      <c r="A1582" t="s">
        <v>405</v>
      </c>
      <c r="B1582" t="s">
        <v>285</v>
      </c>
      <c r="C1582" t="s">
        <v>4</v>
      </c>
      <c r="D1582" t="s">
        <v>229</v>
      </c>
      <c r="E1582">
        <v>103512.44516594506</v>
      </c>
    </row>
    <row r="1583" spans="1:5" x14ac:dyDescent="0.25">
      <c r="A1583" t="s">
        <v>405</v>
      </c>
      <c r="B1583" t="s">
        <v>285</v>
      </c>
      <c r="C1583" t="s">
        <v>5</v>
      </c>
      <c r="D1583" t="s">
        <v>229</v>
      </c>
      <c r="E1583">
        <v>118138.8053030304</v>
      </c>
    </row>
    <row r="1584" spans="1:5" x14ac:dyDescent="0.25">
      <c r="A1584" t="s">
        <v>405</v>
      </c>
      <c r="B1584" t="s">
        <v>288</v>
      </c>
      <c r="C1584" t="s">
        <v>4</v>
      </c>
      <c r="D1584" t="s">
        <v>229</v>
      </c>
      <c r="E1584">
        <v>110412.52005772004</v>
      </c>
    </row>
    <row r="1585" spans="1:5" x14ac:dyDescent="0.25">
      <c r="A1585" t="s">
        <v>405</v>
      </c>
      <c r="B1585" t="s">
        <v>288</v>
      </c>
      <c r="C1585" t="s">
        <v>18</v>
      </c>
      <c r="D1585" t="s">
        <v>229</v>
      </c>
      <c r="E1585">
        <v>1591.4999999999995</v>
      </c>
    </row>
    <row r="1586" spans="1:5" x14ac:dyDescent="0.25">
      <c r="A1586" t="s">
        <v>405</v>
      </c>
      <c r="B1586" t="s">
        <v>288</v>
      </c>
      <c r="C1586" t="s">
        <v>5</v>
      </c>
      <c r="D1586" t="s">
        <v>229</v>
      </c>
      <c r="E1586">
        <v>81845.134848484959</v>
      </c>
    </row>
    <row r="1587" spans="1:5" x14ac:dyDescent="0.25">
      <c r="A1587" t="s">
        <v>405</v>
      </c>
      <c r="B1587" t="s">
        <v>16</v>
      </c>
      <c r="C1587" t="s">
        <v>4</v>
      </c>
      <c r="D1587" t="s">
        <v>50</v>
      </c>
      <c r="E1587">
        <v>384.09696969696978</v>
      </c>
    </row>
    <row r="1588" spans="1:5" x14ac:dyDescent="0.25">
      <c r="A1588" t="s">
        <v>405</v>
      </c>
      <c r="B1588" t="s">
        <v>16</v>
      </c>
      <c r="C1588" t="s">
        <v>18</v>
      </c>
      <c r="D1588" t="s">
        <v>50</v>
      </c>
      <c r="E1588">
        <v>12664.084090909082</v>
      </c>
    </row>
    <row r="1589" spans="1:5" x14ac:dyDescent="0.25">
      <c r="A1589" t="s">
        <v>405</v>
      </c>
      <c r="B1589" t="s">
        <v>16</v>
      </c>
      <c r="C1589" t="s">
        <v>5</v>
      </c>
      <c r="D1589" t="s">
        <v>50</v>
      </c>
      <c r="E1589">
        <v>38265.711760461752</v>
      </c>
    </row>
    <row r="1590" spans="1:5" x14ac:dyDescent="0.25">
      <c r="A1590" t="s">
        <v>405</v>
      </c>
      <c r="B1590" t="s">
        <v>285</v>
      </c>
      <c r="C1590" t="s">
        <v>4</v>
      </c>
      <c r="D1590" t="s">
        <v>50</v>
      </c>
      <c r="E1590">
        <v>303.64718614718612</v>
      </c>
    </row>
    <row r="1591" spans="1:5" x14ac:dyDescent="0.25">
      <c r="A1591" t="s">
        <v>405</v>
      </c>
      <c r="B1591" t="s">
        <v>16</v>
      </c>
      <c r="C1591" t="s">
        <v>18</v>
      </c>
      <c r="D1591" t="s">
        <v>59</v>
      </c>
      <c r="E1591" t="s">
        <v>406</v>
      </c>
    </row>
    <row r="1592" spans="1:5" x14ac:dyDescent="0.25">
      <c r="A1592" t="s">
        <v>405</v>
      </c>
      <c r="B1592" t="s">
        <v>16</v>
      </c>
      <c r="C1592" t="s">
        <v>4</v>
      </c>
      <c r="D1592" t="s">
        <v>59</v>
      </c>
      <c r="E1592" t="s">
        <v>410</v>
      </c>
    </row>
    <row r="1593" spans="1:5" x14ac:dyDescent="0.25">
      <c r="A1593" t="s">
        <v>405</v>
      </c>
      <c r="B1593" t="s">
        <v>16</v>
      </c>
      <c r="C1593" t="s">
        <v>5</v>
      </c>
      <c r="D1593" t="s">
        <v>59</v>
      </c>
      <c r="E1593" t="s">
        <v>415</v>
      </c>
    </row>
    <row r="1594" spans="1:5" x14ac:dyDescent="0.25">
      <c r="A1594" t="s">
        <v>405</v>
      </c>
      <c r="B1594" t="s">
        <v>288</v>
      </c>
      <c r="C1594" t="s">
        <v>18</v>
      </c>
      <c r="D1594" t="s">
        <v>59</v>
      </c>
      <c r="E1594" t="s">
        <v>420</v>
      </c>
    </row>
    <row r="1595" spans="1:5" x14ac:dyDescent="0.25">
      <c r="A1595" t="s">
        <v>405</v>
      </c>
      <c r="B1595" t="s">
        <v>288</v>
      </c>
      <c r="C1595" t="s">
        <v>4</v>
      </c>
      <c r="D1595" t="s">
        <v>59</v>
      </c>
      <c r="E1595" t="s">
        <v>424</v>
      </c>
    </row>
    <row r="1596" spans="1:5" x14ac:dyDescent="0.25">
      <c r="A1596" t="s">
        <v>405</v>
      </c>
      <c r="B1596" t="s">
        <v>288</v>
      </c>
      <c r="C1596" t="s">
        <v>5</v>
      </c>
      <c r="D1596" t="s">
        <v>59</v>
      </c>
      <c r="E1596" t="s">
        <v>429</v>
      </c>
    </row>
    <row r="1597" spans="1:5" x14ac:dyDescent="0.25">
      <c r="A1597" t="s">
        <v>405</v>
      </c>
      <c r="B1597" t="s">
        <v>285</v>
      </c>
      <c r="C1597" t="s">
        <v>4</v>
      </c>
      <c r="D1597" t="s">
        <v>59</v>
      </c>
      <c r="E1597" t="s">
        <v>434</v>
      </c>
    </row>
    <row r="1598" spans="1:5" x14ac:dyDescent="0.25">
      <c r="A1598" t="s">
        <v>405</v>
      </c>
      <c r="B1598" t="s">
        <v>285</v>
      </c>
      <c r="C1598" t="s">
        <v>5</v>
      </c>
      <c r="D1598" t="s">
        <v>59</v>
      </c>
      <c r="E1598" t="s">
        <v>439</v>
      </c>
    </row>
    <row r="1599" spans="1:5" x14ac:dyDescent="0.25">
      <c r="A1599" t="s">
        <v>405</v>
      </c>
      <c r="B1599" t="s">
        <v>16</v>
      </c>
      <c r="C1599" t="s">
        <v>18</v>
      </c>
      <c r="D1599" t="s">
        <v>63</v>
      </c>
      <c r="E1599" t="s">
        <v>407</v>
      </c>
    </row>
    <row r="1600" spans="1:5" x14ac:dyDescent="0.25">
      <c r="A1600" t="s">
        <v>405</v>
      </c>
      <c r="B1600" t="s">
        <v>16</v>
      </c>
      <c r="C1600" t="s">
        <v>4</v>
      </c>
      <c r="D1600" t="s">
        <v>63</v>
      </c>
      <c r="E1600" t="s">
        <v>411</v>
      </c>
    </row>
    <row r="1601" spans="1:5" x14ac:dyDescent="0.25">
      <c r="A1601" t="s">
        <v>405</v>
      </c>
      <c r="B1601" t="s">
        <v>16</v>
      </c>
      <c r="C1601" t="s">
        <v>5</v>
      </c>
      <c r="D1601" t="s">
        <v>63</v>
      </c>
      <c r="E1601" t="s">
        <v>416</v>
      </c>
    </row>
    <row r="1602" spans="1:5" x14ac:dyDescent="0.25">
      <c r="A1602" t="s">
        <v>405</v>
      </c>
      <c r="B1602" t="s">
        <v>288</v>
      </c>
      <c r="C1602" t="s">
        <v>18</v>
      </c>
      <c r="D1602" t="s">
        <v>63</v>
      </c>
      <c r="E1602" t="s">
        <v>421</v>
      </c>
    </row>
    <row r="1603" spans="1:5" x14ac:dyDescent="0.25">
      <c r="A1603" t="s">
        <v>405</v>
      </c>
      <c r="B1603" t="s">
        <v>288</v>
      </c>
      <c r="C1603" t="s">
        <v>4</v>
      </c>
      <c r="D1603" t="s">
        <v>63</v>
      </c>
      <c r="E1603" t="s">
        <v>425</v>
      </c>
    </row>
    <row r="1604" spans="1:5" x14ac:dyDescent="0.25">
      <c r="A1604" t="s">
        <v>405</v>
      </c>
      <c r="B1604" t="s">
        <v>288</v>
      </c>
      <c r="C1604" t="s">
        <v>5</v>
      </c>
      <c r="D1604" t="s">
        <v>63</v>
      </c>
      <c r="E1604" t="s">
        <v>430</v>
      </c>
    </row>
    <row r="1605" spans="1:5" x14ac:dyDescent="0.25">
      <c r="A1605" t="s">
        <v>405</v>
      </c>
      <c r="B1605" t="s">
        <v>285</v>
      </c>
      <c r="C1605" t="s">
        <v>4</v>
      </c>
      <c r="D1605" t="s">
        <v>63</v>
      </c>
      <c r="E1605" t="s">
        <v>435</v>
      </c>
    </row>
    <row r="1606" spans="1:5" x14ac:dyDescent="0.25">
      <c r="A1606" t="s">
        <v>405</v>
      </c>
      <c r="B1606" t="s">
        <v>285</v>
      </c>
      <c r="C1606" t="s">
        <v>5</v>
      </c>
      <c r="D1606" t="s">
        <v>63</v>
      </c>
      <c r="E1606" t="s">
        <v>440</v>
      </c>
    </row>
    <row r="1607" spans="1:5" x14ac:dyDescent="0.25">
      <c r="A1607" t="s">
        <v>405</v>
      </c>
      <c r="B1607" t="s">
        <v>16</v>
      </c>
      <c r="C1607" t="s">
        <v>18</v>
      </c>
      <c r="D1607" t="s">
        <v>67</v>
      </c>
      <c r="E1607" t="s">
        <v>408</v>
      </c>
    </row>
    <row r="1608" spans="1:5" x14ac:dyDescent="0.25">
      <c r="A1608" t="s">
        <v>405</v>
      </c>
      <c r="B1608" t="s">
        <v>16</v>
      </c>
      <c r="C1608" t="s">
        <v>4</v>
      </c>
      <c r="D1608" t="s">
        <v>67</v>
      </c>
      <c r="E1608" t="s">
        <v>412</v>
      </c>
    </row>
    <row r="1609" spans="1:5" x14ac:dyDescent="0.25">
      <c r="A1609" t="s">
        <v>405</v>
      </c>
      <c r="B1609" t="s">
        <v>16</v>
      </c>
      <c r="C1609" t="s">
        <v>5</v>
      </c>
      <c r="D1609" t="s">
        <v>67</v>
      </c>
      <c r="E1609" t="s">
        <v>417</v>
      </c>
    </row>
    <row r="1610" spans="1:5" x14ac:dyDescent="0.25">
      <c r="A1610" t="s">
        <v>405</v>
      </c>
      <c r="B1610" t="s">
        <v>288</v>
      </c>
      <c r="C1610" t="s">
        <v>18</v>
      </c>
      <c r="D1610" t="s">
        <v>67</v>
      </c>
      <c r="E1610" t="s">
        <v>422</v>
      </c>
    </row>
    <row r="1611" spans="1:5" x14ac:dyDescent="0.25">
      <c r="A1611" t="s">
        <v>405</v>
      </c>
      <c r="B1611" t="s">
        <v>288</v>
      </c>
      <c r="C1611" t="s">
        <v>4</v>
      </c>
      <c r="D1611" t="s">
        <v>67</v>
      </c>
      <c r="E1611" t="s">
        <v>426</v>
      </c>
    </row>
    <row r="1612" spans="1:5" x14ac:dyDescent="0.25">
      <c r="A1612" t="s">
        <v>405</v>
      </c>
      <c r="B1612" t="s">
        <v>288</v>
      </c>
      <c r="C1612" t="s">
        <v>5</v>
      </c>
      <c r="D1612" t="s">
        <v>67</v>
      </c>
      <c r="E1612" t="s">
        <v>431</v>
      </c>
    </row>
    <row r="1613" spans="1:5" x14ac:dyDescent="0.25">
      <c r="A1613" t="s">
        <v>405</v>
      </c>
      <c r="B1613" t="s">
        <v>285</v>
      </c>
      <c r="C1613" t="s">
        <v>4</v>
      </c>
      <c r="D1613" t="s">
        <v>67</v>
      </c>
      <c r="E1613" t="s">
        <v>436</v>
      </c>
    </row>
    <row r="1614" spans="1:5" x14ac:dyDescent="0.25">
      <c r="A1614" t="s">
        <v>405</v>
      </c>
      <c r="B1614" t="s">
        <v>285</v>
      </c>
      <c r="C1614" t="s">
        <v>5</v>
      </c>
      <c r="D1614" t="s">
        <v>67</v>
      </c>
      <c r="E1614" t="s">
        <v>441</v>
      </c>
    </row>
    <row r="1615" spans="1:5" x14ac:dyDescent="0.25">
      <c r="A1615" t="s">
        <v>405</v>
      </c>
      <c r="B1615" t="s">
        <v>16</v>
      </c>
      <c r="C1615" t="s">
        <v>18</v>
      </c>
      <c r="D1615" t="s">
        <v>233</v>
      </c>
      <c r="E1615" t="s">
        <v>409</v>
      </c>
    </row>
    <row r="1616" spans="1:5" x14ac:dyDescent="0.25">
      <c r="A1616" t="s">
        <v>405</v>
      </c>
      <c r="B1616" t="s">
        <v>16</v>
      </c>
      <c r="C1616" t="s">
        <v>4</v>
      </c>
      <c r="D1616" t="s">
        <v>233</v>
      </c>
      <c r="E1616" t="s">
        <v>413</v>
      </c>
    </row>
    <row r="1617" spans="1:5" x14ac:dyDescent="0.25">
      <c r="A1617" t="s">
        <v>405</v>
      </c>
      <c r="B1617" t="s">
        <v>16</v>
      </c>
      <c r="C1617" t="s">
        <v>5</v>
      </c>
      <c r="D1617" t="s">
        <v>233</v>
      </c>
      <c r="E1617" t="s">
        <v>418</v>
      </c>
    </row>
    <row r="1618" spans="1:5" x14ac:dyDescent="0.25">
      <c r="A1618" t="s">
        <v>405</v>
      </c>
      <c r="B1618" t="s">
        <v>288</v>
      </c>
      <c r="C1618" t="s">
        <v>18</v>
      </c>
      <c r="D1618" t="s">
        <v>233</v>
      </c>
      <c r="E1618" t="s">
        <v>423</v>
      </c>
    </row>
    <row r="1619" spans="1:5" x14ac:dyDescent="0.25">
      <c r="A1619" t="s">
        <v>405</v>
      </c>
      <c r="B1619" t="s">
        <v>288</v>
      </c>
      <c r="C1619" t="s">
        <v>4</v>
      </c>
      <c r="D1619" t="s">
        <v>233</v>
      </c>
      <c r="E1619" t="s">
        <v>427</v>
      </c>
    </row>
    <row r="1620" spans="1:5" x14ac:dyDescent="0.25">
      <c r="A1620" t="s">
        <v>405</v>
      </c>
      <c r="B1620" t="s">
        <v>288</v>
      </c>
      <c r="C1620" t="s">
        <v>5</v>
      </c>
      <c r="D1620" t="s">
        <v>233</v>
      </c>
      <c r="E1620" t="s">
        <v>432</v>
      </c>
    </row>
    <row r="1621" spans="1:5" x14ac:dyDescent="0.25">
      <c r="A1621" t="s">
        <v>405</v>
      </c>
      <c r="B1621" t="s">
        <v>285</v>
      </c>
      <c r="C1621" t="s">
        <v>4</v>
      </c>
      <c r="D1621" t="s">
        <v>233</v>
      </c>
      <c r="E1621" t="s">
        <v>437</v>
      </c>
    </row>
    <row r="1622" spans="1:5" x14ac:dyDescent="0.25">
      <c r="A1622" t="s">
        <v>405</v>
      </c>
      <c r="B1622" t="s">
        <v>285</v>
      </c>
      <c r="C1622" t="s">
        <v>5</v>
      </c>
      <c r="D1622" t="s">
        <v>233</v>
      </c>
      <c r="E1622" t="s">
        <v>442</v>
      </c>
    </row>
    <row r="1623" spans="1:5" x14ac:dyDescent="0.25">
      <c r="A1623" t="s">
        <v>405</v>
      </c>
      <c r="B1623" t="s">
        <v>16</v>
      </c>
      <c r="C1623" t="s">
        <v>4</v>
      </c>
      <c r="D1623" t="s">
        <v>239</v>
      </c>
      <c r="E1623" t="s">
        <v>414</v>
      </c>
    </row>
    <row r="1624" spans="1:5" x14ac:dyDescent="0.25">
      <c r="A1624" t="s">
        <v>405</v>
      </c>
      <c r="B1624" t="s">
        <v>16</v>
      </c>
      <c r="C1624" t="s">
        <v>5</v>
      </c>
      <c r="D1624" t="s">
        <v>239</v>
      </c>
      <c r="E1624" t="s">
        <v>419</v>
      </c>
    </row>
    <row r="1625" spans="1:5" x14ac:dyDescent="0.25">
      <c r="A1625" t="s">
        <v>405</v>
      </c>
      <c r="B1625" t="s">
        <v>288</v>
      </c>
      <c r="C1625" t="s">
        <v>4</v>
      </c>
      <c r="D1625" t="s">
        <v>239</v>
      </c>
      <c r="E1625" t="s">
        <v>428</v>
      </c>
    </row>
    <row r="1626" spans="1:5" x14ac:dyDescent="0.25">
      <c r="A1626" t="s">
        <v>405</v>
      </c>
      <c r="B1626" t="s">
        <v>288</v>
      </c>
      <c r="C1626" t="s">
        <v>5</v>
      </c>
      <c r="D1626" t="s">
        <v>239</v>
      </c>
      <c r="E1626" t="s">
        <v>433</v>
      </c>
    </row>
    <row r="1627" spans="1:5" x14ac:dyDescent="0.25">
      <c r="A1627" t="s">
        <v>405</v>
      </c>
      <c r="B1627" t="s">
        <v>285</v>
      </c>
      <c r="C1627" t="s">
        <v>4</v>
      </c>
      <c r="D1627" t="s">
        <v>239</v>
      </c>
      <c r="E1627" t="s">
        <v>438</v>
      </c>
    </row>
    <row r="1628" spans="1:5" x14ac:dyDescent="0.25">
      <c r="A1628" t="s">
        <v>405</v>
      </c>
      <c r="B1628" t="s">
        <v>285</v>
      </c>
      <c r="C1628" t="s">
        <v>5</v>
      </c>
      <c r="D1628" t="s">
        <v>239</v>
      </c>
      <c r="E1628" t="s">
        <v>443</v>
      </c>
    </row>
    <row r="1629" spans="1:5" x14ac:dyDescent="0.25">
      <c r="A1629" t="s">
        <v>405</v>
      </c>
      <c r="B1629" t="s">
        <v>16</v>
      </c>
      <c r="C1629" t="s">
        <v>4</v>
      </c>
      <c r="D1629" t="s">
        <v>6</v>
      </c>
      <c r="E1629">
        <v>11967</v>
      </c>
    </row>
    <row r="1630" spans="1:5" x14ac:dyDescent="0.25">
      <c r="A1630" t="s">
        <v>405</v>
      </c>
      <c r="B1630" t="s">
        <v>16</v>
      </c>
      <c r="C1630" t="s">
        <v>18</v>
      </c>
      <c r="D1630" t="s">
        <v>6</v>
      </c>
      <c r="E1630">
        <v>448</v>
      </c>
    </row>
    <row r="1631" spans="1:5" x14ac:dyDescent="0.25">
      <c r="A1631" t="s">
        <v>405</v>
      </c>
      <c r="B1631" t="s">
        <v>16</v>
      </c>
      <c r="C1631" t="s">
        <v>5</v>
      </c>
      <c r="D1631" t="s">
        <v>6</v>
      </c>
      <c r="E1631">
        <v>3412</v>
      </c>
    </row>
    <row r="1632" spans="1:5" x14ac:dyDescent="0.25">
      <c r="A1632" t="s">
        <v>405</v>
      </c>
      <c r="B1632" t="s">
        <v>285</v>
      </c>
      <c r="C1632" t="s">
        <v>4</v>
      </c>
      <c r="D1632" t="s">
        <v>6</v>
      </c>
      <c r="E1632">
        <v>3258</v>
      </c>
    </row>
    <row r="1633" spans="1:5" x14ac:dyDescent="0.25">
      <c r="A1633" t="s">
        <v>405</v>
      </c>
      <c r="B1633" t="s">
        <v>285</v>
      </c>
      <c r="C1633" t="s">
        <v>5</v>
      </c>
      <c r="D1633" t="s">
        <v>6</v>
      </c>
      <c r="E1633">
        <v>1024</v>
      </c>
    </row>
    <row r="1634" spans="1:5" x14ac:dyDescent="0.25">
      <c r="A1634" t="s">
        <v>405</v>
      </c>
      <c r="B1634" t="s">
        <v>288</v>
      </c>
      <c r="C1634" t="s">
        <v>4</v>
      </c>
      <c r="D1634" t="s">
        <v>6</v>
      </c>
      <c r="E1634">
        <v>11118</v>
      </c>
    </row>
    <row r="1635" spans="1:5" x14ac:dyDescent="0.25">
      <c r="A1635" t="s">
        <v>405</v>
      </c>
      <c r="B1635" t="s">
        <v>288</v>
      </c>
      <c r="C1635" t="s">
        <v>18</v>
      </c>
      <c r="D1635" t="s">
        <v>6</v>
      </c>
      <c r="E1635">
        <v>861</v>
      </c>
    </row>
    <row r="1636" spans="1:5" x14ac:dyDescent="0.25">
      <c r="A1636" t="s">
        <v>405</v>
      </c>
      <c r="B1636" t="s">
        <v>288</v>
      </c>
      <c r="C1636" t="s">
        <v>5</v>
      </c>
      <c r="D1636" t="s">
        <v>6</v>
      </c>
      <c r="E1636">
        <v>2994</v>
      </c>
    </row>
    <row r="1637" spans="1:5" x14ac:dyDescent="0.25">
      <c r="A1637" t="s">
        <v>405</v>
      </c>
      <c r="B1637" t="s">
        <v>16</v>
      </c>
      <c r="C1637" t="s">
        <v>4</v>
      </c>
      <c r="D1637" t="s">
        <v>17</v>
      </c>
      <c r="E1637">
        <v>721</v>
      </c>
    </row>
    <row r="1638" spans="1:5" x14ac:dyDescent="0.25">
      <c r="A1638" t="s">
        <v>405</v>
      </c>
      <c r="B1638" t="s">
        <v>16</v>
      </c>
      <c r="C1638" t="s">
        <v>18</v>
      </c>
      <c r="D1638" t="s">
        <v>17</v>
      </c>
      <c r="E1638">
        <v>13</v>
      </c>
    </row>
    <row r="1639" spans="1:5" x14ac:dyDescent="0.25">
      <c r="A1639" t="s">
        <v>405</v>
      </c>
      <c r="B1639" t="s">
        <v>16</v>
      </c>
      <c r="C1639" t="s">
        <v>5</v>
      </c>
      <c r="D1639" t="s">
        <v>17</v>
      </c>
      <c r="E1639">
        <v>50</v>
      </c>
    </row>
    <row r="1640" spans="1:5" x14ac:dyDescent="0.25">
      <c r="A1640" t="s">
        <v>405</v>
      </c>
      <c r="B1640" t="s">
        <v>285</v>
      </c>
      <c r="C1640" t="s">
        <v>4</v>
      </c>
      <c r="D1640" t="s">
        <v>17</v>
      </c>
      <c r="E1640">
        <v>37</v>
      </c>
    </row>
    <row r="1641" spans="1:5" x14ac:dyDescent="0.25">
      <c r="A1641" t="s">
        <v>405</v>
      </c>
      <c r="B1641" t="s">
        <v>285</v>
      </c>
      <c r="C1641" t="s">
        <v>5</v>
      </c>
      <c r="D1641" t="s">
        <v>17</v>
      </c>
      <c r="E1641">
        <v>82</v>
      </c>
    </row>
    <row r="1642" spans="1:5" x14ac:dyDescent="0.25">
      <c r="A1642" t="s">
        <v>405</v>
      </c>
      <c r="B1642" t="s">
        <v>288</v>
      </c>
      <c r="C1642" t="s">
        <v>4</v>
      </c>
      <c r="D1642" t="s">
        <v>17</v>
      </c>
      <c r="E1642">
        <v>516</v>
      </c>
    </row>
    <row r="1643" spans="1:5" x14ac:dyDescent="0.25">
      <c r="A1643" t="s">
        <v>405</v>
      </c>
      <c r="B1643" t="s">
        <v>288</v>
      </c>
      <c r="C1643" t="s">
        <v>18</v>
      </c>
      <c r="D1643" t="s">
        <v>17</v>
      </c>
      <c r="E1643">
        <v>11</v>
      </c>
    </row>
    <row r="1644" spans="1:5" x14ac:dyDescent="0.25">
      <c r="A1644" t="s">
        <v>405</v>
      </c>
      <c r="B1644" t="s">
        <v>288</v>
      </c>
      <c r="C1644" t="s">
        <v>5</v>
      </c>
      <c r="D1644" t="s">
        <v>17</v>
      </c>
      <c r="E1644">
        <v>8</v>
      </c>
    </row>
    <row r="1645" spans="1:5" x14ac:dyDescent="0.25">
      <c r="A1645" t="s">
        <v>405</v>
      </c>
      <c r="B1645" t="s">
        <v>16</v>
      </c>
      <c r="C1645" t="s">
        <v>4</v>
      </c>
      <c r="D1645" t="s">
        <v>29</v>
      </c>
      <c r="E1645" t="s">
        <v>329</v>
      </c>
    </row>
    <row r="1646" spans="1:5" x14ac:dyDescent="0.25">
      <c r="A1646" t="s">
        <v>405</v>
      </c>
      <c r="B1646" t="s">
        <v>16</v>
      </c>
      <c r="C1646" t="s">
        <v>4</v>
      </c>
      <c r="D1646" t="s">
        <v>31</v>
      </c>
      <c r="E1646" t="s">
        <v>444</v>
      </c>
    </row>
    <row r="1647" spans="1:5" x14ac:dyDescent="0.25">
      <c r="A1647" t="s">
        <v>405</v>
      </c>
      <c r="B1647" t="s">
        <v>16</v>
      </c>
      <c r="C1647" t="s">
        <v>5</v>
      </c>
      <c r="D1647" t="s">
        <v>31</v>
      </c>
      <c r="E1647" t="s">
        <v>445</v>
      </c>
    </row>
    <row r="1648" spans="1:5" x14ac:dyDescent="0.25">
      <c r="A1648" t="s">
        <v>405</v>
      </c>
      <c r="B1648" t="s">
        <v>16</v>
      </c>
      <c r="C1648" t="s">
        <v>4</v>
      </c>
      <c r="D1648" t="s">
        <v>249</v>
      </c>
      <c r="E1648" t="s">
        <v>393</v>
      </c>
    </row>
    <row r="1649" spans="1:5" x14ac:dyDescent="0.25">
      <c r="A1649" t="s">
        <v>405</v>
      </c>
      <c r="B1649" t="s">
        <v>16</v>
      </c>
      <c r="C1649" t="s">
        <v>4</v>
      </c>
      <c r="D1649" t="s">
        <v>34</v>
      </c>
      <c r="E1649" t="s">
        <v>446</v>
      </c>
    </row>
    <row r="1650" spans="1:5" x14ac:dyDescent="0.25">
      <c r="A1650" t="s">
        <v>405</v>
      </c>
      <c r="B1650" t="s">
        <v>16</v>
      </c>
      <c r="C1650" t="s">
        <v>18</v>
      </c>
      <c r="D1650" t="s">
        <v>34</v>
      </c>
      <c r="E1650" t="s">
        <v>278</v>
      </c>
    </row>
    <row r="1651" spans="1:5" x14ac:dyDescent="0.25">
      <c r="A1651" t="s">
        <v>405</v>
      </c>
      <c r="B1651" t="s">
        <v>16</v>
      </c>
      <c r="C1651" t="s">
        <v>5</v>
      </c>
      <c r="D1651" t="s">
        <v>34</v>
      </c>
      <c r="E1651" t="s">
        <v>447</v>
      </c>
    </row>
    <row r="1652" spans="1:5" x14ac:dyDescent="0.25">
      <c r="A1652" t="s">
        <v>405</v>
      </c>
      <c r="B1652" t="s">
        <v>16</v>
      </c>
      <c r="C1652" t="s">
        <v>4</v>
      </c>
      <c r="D1652" t="s">
        <v>38</v>
      </c>
      <c r="E1652" t="s">
        <v>448</v>
      </c>
    </row>
    <row r="1653" spans="1:5" x14ac:dyDescent="0.25">
      <c r="A1653" t="s">
        <v>405</v>
      </c>
      <c r="B1653" t="s">
        <v>16</v>
      </c>
      <c r="C1653" t="s">
        <v>18</v>
      </c>
      <c r="D1653" t="s">
        <v>38</v>
      </c>
      <c r="E1653" t="s">
        <v>449</v>
      </c>
    </row>
    <row r="1654" spans="1:5" x14ac:dyDescent="0.25">
      <c r="A1654" t="s">
        <v>405</v>
      </c>
      <c r="B1654" t="s">
        <v>16</v>
      </c>
      <c r="C1654" t="s">
        <v>5</v>
      </c>
      <c r="D1654" t="s">
        <v>38</v>
      </c>
      <c r="E1654" t="s">
        <v>450</v>
      </c>
    </row>
    <row r="1655" spans="1:5" x14ac:dyDescent="0.25">
      <c r="A1655" t="s">
        <v>405</v>
      </c>
      <c r="B1655" t="s">
        <v>285</v>
      </c>
      <c r="C1655" t="s">
        <v>4</v>
      </c>
      <c r="D1655" t="s">
        <v>38</v>
      </c>
      <c r="E1655" t="s">
        <v>451</v>
      </c>
    </row>
    <row r="1656" spans="1:5" x14ac:dyDescent="0.25">
      <c r="A1656" t="s">
        <v>405</v>
      </c>
      <c r="B1656" t="s">
        <v>285</v>
      </c>
      <c r="C1656" t="s">
        <v>5</v>
      </c>
      <c r="D1656" t="s">
        <v>38</v>
      </c>
      <c r="E1656" t="s">
        <v>452</v>
      </c>
    </row>
    <row r="1657" spans="1:5" x14ac:dyDescent="0.25">
      <c r="A1657" t="s">
        <v>405</v>
      </c>
      <c r="B1657" t="s">
        <v>288</v>
      </c>
      <c r="C1657" t="s">
        <v>4</v>
      </c>
      <c r="D1657" t="s">
        <v>38</v>
      </c>
      <c r="E1657" t="s">
        <v>453</v>
      </c>
    </row>
    <row r="1658" spans="1:5" x14ac:dyDescent="0.25">
      <c r="A1658" t="s">
        <v>405</v>
      </c>
      <c r="B1658" t="s">
        <v>288</v>
      </c>
      <c r="C1658" t="s">
        <v>18</v>
      </c>
      <c r="D1658" t="s">
        <v>38</v>
      </c>
      <c r="E1658" t="s">
        <v>454</v>
      </c>
    </row>
    <row r="1659" spans="1:5" x14ac:dyDescent="0.25">
      <c r="A1659" t="s">
        <v>405</v>
      </c>
      <c r="B1659" t="s">
        <v>288</v>
      </c>
      <c r="C1659" t="s">
        <v>5</v>
      </c>
      <c r="D1659" t="s">
        <v>38</v>
      </c>
      <c r="E1659" t="s">
        <v>455</v>
      </c>
    </row>
    <row r="1660" spans="1:5" x14ac:dyDescent="0.25">
      <c r="A1660" t="s">
        <v>405</v>
      </c>
      <c r="B1660" t="s">
        <v>16</v>
      </c>
      <c r="C1660" t="s">
        <v>4</v>
      </c>
      <c r="D1660" t="s">
        <v>20</v>
      </c>
      <c r="E1660">
        <v>8544</v>
      </c>
    </row>
    <row r="1661" spans="1:5" x14ac:dyDescent="0.25">
      <c r="A1661" t="s">
        <v>405</v>
      </c>
      <c r="B1661" t="s">
        <v>16</v>
      </c>
      <c r="C1661" t="s">
        <v>18</v>
      </c>
      <c r="D1661" t="s">
        <v>20</v>
      </c>
      <c r="E1661">
        <v>487</v>
      </c>
    </row>
    <row r="1662" spans="1:5" x14ac:dyDescent="0.25">
      <c r="A1662" t="s">
        <v>405</v>
      </c>
      <c r="B1662" t="s">
        <v>16</v>
      </c>
      <c r="C1662" t="s">
        <v>5</v>
      </c>
      <c r="D1662" t="s">
        <v>20</v>
      </c>
      <c r="E1662">
        <v>2206</v>
      </c>
    </row>
    <row r="1663" spans="1:5" x14ac:dyDescent="0.25">
      <c r="A1663" t="s">
        <v>405</v>
      </c>
      <c r="B1663" t="s">
        <v>285</v>
      </c>
      <c r="C1663" t="s">
        <v>4</v>
      </c>
      <c r="D1663" t="s">
        <v>20</v>
      </c>
      <c r="E1663">
        <v>3324</v>
      </c>
    </row>
    <row r="1664" spans="1:5" x14ac:dyDescent="0.25">
      <c r="A1664" t="s">
        <v>405</v>
      </c>
      <c r="B1664" t="s">
        <v>285</v>
      </c>
      <c r="C1664" t="s">
        <v>5</v>
      </c>
      <c r="D1664" t="s">
        <v>20</v>
      </c>
      <c r="E1664">
        <v>2797</v>
      </c>
    </row>
    <row r="1665" spans="1:5" x14ac:dyDescent="0.25">
      <c r="A1665" t="s">
        <v>405</v>
      </c>
      <c r="B1665" t="s">
        <v>288</v>
      </c>
      <c r="C1665" t="s">
        <v>4</v>
      </c>
      <c r="D1665" t="s">
        <v>20</v>
      </c>
      <c r="E1665">
        <v>3293</v>
      </c>
    </row>
    <row r="1666" spans="1:5" x14ac:dyDescent="0.25">
      <c r="A1666" t="s">
        <v>405</v>
      </c>
      <c r="B1666" t="s">
        <v>288</v>
      </c>
      <c r="C1666" t="s">
        <v>18</v>
      </c>
      <c r="D1666" t="s">
        <v>20</v>
      </c>
      <c r="E1666">
        <v>174</v>
      </c>
    </row>
    <row r="1667" spans="1:5" x14ac:dyDescent="0.25">
      <c r="A1667" t="s">
        <v>405</v>
      </c>
      <c r="B1667" t="s">
        <v>288</v>
      </c>
      <c r="C1667" t="s">
        <v>5</v>
      </c>
      <c r="D1667" t="s">
        <v>20</v>
      </c>
      <c r="E1667">
        <v>1485</v>
      </c>
    </row>
    <row r="1668" spans="1:5" x14ac:dyDescent="0.25">
      <c r="A1668" t="s">
        <v>405</v>
      </c>
      <c r="B1668" t="s">
        <v>16</v>
      </c>
      <c r="C1668" t="s">
        <v>4</v>
      </c>
      <c r="D1668" t="s">
        <v>42</v>
      </c>
      <c r="E1668">
        <v>193</v>
      </c>
    </row>
    <row r="1669" spans="1:5" x14ac:dyDescent="0.25">
      <c r="A1669" t="s">
        <v>405</v>
      </c>
      <c r="B1669" t="s">
        <v>285</v>
      </c>
      <c r="C1669" t="s">
        <v>4</v>
      </c>
      <c r="D1669" t="s">
        <v>42</v>
      </c>
      <c r="E1669">
        <v>149</v>
      </c>
    </row>
    <row r="1670" spans="1:5" x14ac:dyDescent="0.25">
      <c r="A1670" t="s">
        <v>405</v>
      </c>
      <c r="B1670" t="s">
        <v>288</v>
      </c>
      <c r="C1670" t="s">
        <v>4</v>
      </c>
      <c r="D1670" t="s">
        <v>42</v>
      </c>
      <c r="E1670">
        <v>218</v>
      </c>
    </row>
    <row r="1671" spans="1:5" x14ac:dyDescent="0.25">
      <c r="A1671" t="s">
        <v>405</v>
      </c>
      <c r="B1671" t="s">
        <v>16</v>
      </c>
      <c r="C1671" t="s">
        <v>4</v>
      </c>
      <c r="D1671" t="s">
        <v>43</v>
      </c>
      <c r="E1671">
        <v>2237</v>
      </c>
    </row>
    <row r="1672" spans="1:5" x14ac:dyDescent="0.25">
      <c r="A1672" t="s">
        <v>405</v>
      </c>
      <c r="B1672" t="s">
        <v>16</v>
      </c>
      <c r="C1672" t="s">
        <v>18</v>
      </c>
      <c r="D1672" t="s">
        <v>43</v>
      </c>
      <c r="E1672">
        <v>5</v>
      </c>
    </row>
    <row r="1673" spans="1:5" x14ac:dyDescent="0.25">
      <c r="A1673" t="s">
        <v>405</v>
      </c>
      <c r="B1673" t="s">
        <v>16</v>
      </c>
      <c r="C1673" t="s">
        <v>5</v>
      </c>
      <c r="D1673" t="s">
        <v>43</v>
      </c>
      <c r="E1673">
        <v>751</v>
      </c>
    </row>
    <row r="1674" spans="1:5" x14ac:dyDescent="0.25">
      <c r="A1674" t="s">
        <v>405</v>
      </c>
      <c r="B1674" t="s">
        <v>16</v>
      </c>
      <c r="C1674" t="s">
        <v>4</v>
      </c>
      <c r="D1674" t="s">
        <v>44</v>
      </c>
      <c r="E1674">
        <v>6114</v>
      </c>
    </row>
    <row r="1675" spans="1:5" x14ac:dyDescent="0.25">
      <c r="A1675" t="s">
        <v>405</v>
      </c>
      <c r="B1675" t="s">
        <v>16</v>
      </c>
      <c r="C1675" t="s">
        <v>18</v>
      </c>
      <c r="D1675" t="s">
        <v>44</v>
      </c>
      <c r="E1675">
        <v>482</v>
      </c>
    </row>
    <row r="1676" spans="1:5" x14ac:dyDescent="0.25">
      <c r="A1676" t="s">
        <v>405</v>
      </c>
      <c r="B1676" t="s">
        <v>16</v>
      </c>
      <c r="C1676" t="s">
        <v>5</v>
      </c>
      <c r="D1676" t="s">
        <v>44</v>
      </c>
      <c r="E1676">
        <v>1455</v>
      </c>
    </row>
    <row r="1677" spans="1:5" x14ac:dyDescent="0.25">
      <c r="A1677" t="s">
        <v>405</v>
      </c>
      <c r="B1677" t="s">
        <v>285</v>
      </c>
      <c r="C1677" t="s">
        <v>4</v>
      </c>
      <c r="D1677" t="s">
        <v>44</v>
      </c>
      <c r="E1677">
        <v>3175</v>
      </c>
    </row>
    <row r="1678" spans="1:5" x14ac:dyDescent="0.25">
      <c r="A1678" t="s">
        <v>405</v>
      </c>
      <c r="B1678" t="s">
        <v>285</v>
      </c>
      <c r="C1678" t="s">
        <v>5</v>
      </c>
      <c r="D1678" t="s">
        <v>44</v>
      </c>
      <c r="E1678">
        <v>2797</v>
      </c>
    </row>
    <row r="1679" spans="1:5" x14ac:dyDescent="0.25">
      <c r="A1679" t="s">
        <v>405</v>
      </c>
      <c r="B1679" t="s">
        <v>288</v>
      </c>
      <c r="C1679" t="s">
        <v>4</v>
      </c>
      <c r="D1679" t="s">
        <v>44</v>
      </c>
      <c r="E1679">
        <v>3075</v>
      </c>
    </row>
    <row r="1680" spans="1:5" x14ac:dyDescent="0.25">
      <c r="A1680" t="s">
        <v>405</v>
      </c>
      <c r="B1680" t="s">
        <v>288</v>
      </c>
      <c r="C1680" t="s">
        <v>18</v>
      </c>
      <c r="D1680" t="s">
        <v>44</v>
      </c>
      <c r="E1680">
        <v>174</v>
      </c>
    </row>
    <row r="1681" spans="1:5" x14ac:dyDescent="0.25">
      <c r="A1681" t="s">
        <v>405</v>
      </c>
      <c r="B1681" t="s">
        <v>288</v>
      </c>
      <c r="C1681" t="s">
        <v>5</v>
      </c>
      <c r="D1681" t="s">
        <v>44</v>
      </c>
      <c r="E1681">
        <v>1485</v>
      </c>
    </row>
    <row r="1682" spans="1:5" x14ac:dyDescent="0.25">
      <c r="A1682" t="s">
        <v>405</v>
      </c>
      <c r="B1682" t="s">
        <v>16</v>
      </c>
      <c r="C1682" t="s">
        <v>4</v>
      </c>
      <c r="D1682" t="s">
        <v>21</v>
      </c>
      <c r="E1682">
        <v>0.92316593381161771</v>
      </c>
    </row>
    <row r="1683" spans="1:5" x14ac:dyDescent="0.25">
      <c r="A1683" t="s">
        <v>405</v>
      </c>
      <c r="B1683" t="s">
        <v>16</v>
      </c>
      <c r="C1683" t="s">
        <v>18</v>
      </c>
      <c r="D1683" t="s">
        <v>21</v>
      </c>
      <c r="E1683">
        <v>0.4955752212389381</v>
      </c>
    </row>
    <row r="1684" spans="1:5" x14ac:dyDescent="0.25">
      <c r="A1684" t="s">
        <v>405</v>
      </c>
      <c r="B1684" t="s">
        <v>16</v>
      </c>
      <c r="C1684" t="s">
        <v>5</v>
      </c>
      <c r="D1684" t="s">
        <v>21</v>
      </c>
      <c r="E1684">
        <v>0.96302568444820769</v>
      </c>
    </row>
    <row r="1685" spans="1:5" x14ac:dyDescent="0.25">
      <c r="A1685" t="s">
        <v>405</v>
      </c>
      <c r="B1685" t="s">
        <v>285</v>
      </c>
      <c r="C1685" t="s">
        <v>4</v>
      </c>
      <c r="D1685" t="s">
        <v>21</v>
      </c>
      <c r="E1685">
        <v>0.3753023845179127</v>
      </c>
    </row>
    <row r="1686" spans="1:5" x14ac:dyDescent="0.25">
      <c r="A1686" t="s">
        <v>405</v>
      </c>
      <c r="B1686" t="s">
        <v>285</v>
      </c>
      <c r="C1686" t="s">
        <v>5</v>
      </c>
      <c r="D1686" t="s">
        <v>21</v>
      </c>
      <c r="E1686">
        <v>0.3119098385622906</v>
      </c>
    </row>
    <row r="1687" spans="1:5" x14ac:dyDescent="0.25">
      <c r="A1687" t="s">
        <v>405</v>
      </c>
      <c r="B1687" t="s">
        <v>288</v>
      </c>
      <c r="C1687" t="s">
        <v>4</v>
      </c>
      <c r="D1687" t="s">
        <v>21</v>
      </c>
      <c r="E1687">
        <v>0.89871473607630747</v>
      </c>
    </row>
    <row r="1688" spans="1:5" x14ac:dyDescent="0.25">
      <c r="A1688" t="s">
        <v>405</v>
      </c>
      <c r="B1688" t="s">
        <v>288</v>
      </c>
      <c r="C1688" t="s">
        <v>18</v>
      </c>
      <c r="D1688" t="s">
        <v>21</v>
      </c>
      <c r="E1688">
        <v>0.97508493771234428</v>
      </c>
    </row>
    <row r="1689" spans="1:5" x14ac:dyDescent="0.25">
      <c r="A1689" t="s">
        <v>405</v>
      </c>
      <c r="B1689" t="s">
        <v>288</v>
      </c>
      <c r="C1689" t="s">
        <v>5</v>
      </c>
      <c r="D1689" t="s">
        <v>21</v>
      </c>
      <c r="E1689">
        <v>0.92321924144310819</v>
      </c>
    </row>
    <row r="1690" spans="1:5" x14ac:dyDescent="0.25">
      <c r="A1690" t="s">
        <v>405</v>
      </c>
      <c r="B1690" t="s">
        <v>16</v>
      </c>
      <c r="C1690" t="s">
        <v>4</v>
      </c>
      <c r="D1690" t="s">
        <v>22</v>
      </c>
      <c r="E1690">
        <v>0.11205022941318522</v>
      </c>
    </row>
    <row r="1691" spans="1:5" x14ac:dyDescent="0.25">
      <c r="A1691" t="s">
        <v>405</v>
      </c>
      <c r="B1691" t="s">
        <v>16</v>
      </c>
      <c r="C1691" t="s">
        <v>18</v>
      </c>
      <c r="D1691" t="s">
        <v>22</v>
      </c>
      <c r="E1691">
        <v>0.12545676004872108</v>
      </c>
    </row>
    <row r="1692" spans="1:5" x14ac:dyDescent="0.25">
      <c r="A1692" t="s">
        <v>405</v>
      </c>
      <c r="B1692" t="s">
        <v>16</v>
      </c>
      <c r="C1692" t="s">
        <v>5</v>
      </c>
      <c r="D1692" t="s">
        <v>22</v>
      </c>
      <c r="E1692">
        <v>8.1791626095423564E-2</v>
      </c>
    </row>
    <row r="1693" spans="1:5" x14ac:dyDescent="0.25">
      <c r="A1693" t="s">
        <v>405</v>
      </c>
      <c r="B1693" t="s">
        <v>285</v>
      </c>
      <c r="C1693" t="s">
        <v>4</v>
      </c>
      <c r="D1693" t="s">
        <v>22</v>
      </c>
      <c r="E1693">
        <v>8.15574242598779E-2</v>
      </c>
    </row>
    <row r="1694" spans="1:5" x14ac:dyDescent="0.25">
      <c r="A1694" t="s">
        <v>405</v>
      </c>
      <c r="B1694" t="s">
        <v>285</v>
      </c>
      <c r="C1694" t="s">
        <v>5</v>
      </c>
      <c r="D1694" t="s">
        <v>22</v>
      </c>
      <c r="E1694">
        <v>7.4017666768199819E-2</v>
      </c>
    </row>
    <row r="1695" spans="1:5" x14ac:dyDescent="0.25">
      <c r="A1695" t="s">
        <v>405</v>
      </c>
      <c r="B1695" t="s">
        <v>288</v>
      </c>
      <c r="C1695" t="s">
        <v>4</v>
      </c>
      <c r="D1695" t="s">
        <v>22</v>
      </c>
      <c r="E1695">
        <v>8.1400048500525429E-2</v>
      </c>
    </row>
    <row r="1696" spans="1:5" x14ac:dyDescent="0.25">
      <c r="A1696" t="s">
        <v>405</v>
      </c>
      <c r="B1696" t="s">
        <v>288</v>
      </c>
      <c r="C1696" t="s">
        <v>18</v>
      </c>
      <c r="D1696" t="s">
        <v>22</v>
      </c>
      <c r="E1696">
        <v>4.3035107587768968E-2</v>
      </c>
    </row>
    <row r="1697" spans="1:5" x14ac:dyDescent="0.25">
      <c r="A1697" t="s">
        <v>405</v>
      </c>
      <c r="B1697" t="s">
        <v>288</v>
      </c>
      <c r="C1697" t="s">
        <v>5</v>
      </c>
      <c r="D1697" t="s">
        <v>22</v>
      </c>
      <c r="E1697">
        <v>0.13444341658957756</v>
      </c>
    </row>
    <row r="1698" spans="1:5" x14ac:dyDescent="0.25">
      <c r="A1698" t="s">
        <v>405</v>
      </c>
      <c r="B1698" t="s">
        <v>16</v>
      </c>
      <c r="C1698" t="s">
        <v>4</v>
      </c>
      <c r="D1698" t="s">
        <v>23</v>
      </c>
      <c r="E1698">
        <v>0.19222410045882635</v>
      </c>
    </row>
    <row r="1699" spans="1:5" x14ac:dyDescent="0.25">
      <c r="A1699" t="s">
        <v>405</v>
      </c>
      <c r="B1699" t="s">
        <v>16</v>
      </c>
      <c r="C1699" t="s">
        <v>18</v>
      </c>
      <c r="D1699" t="s">
        <v>23</v>
      </c>
      <c r="E1699">
        <v>0.36906211936662608</v>
      </c>
    </row>
    <row r="1700" spans="1:5" x14ac:dyDescent="0.25">
      <c r="A1700" t="s">
        <v>405</v>
      </c>
      <c r="B1700" t="s">
        <v>16</v>
      </c>
      <c r="C1700" t="s">
        <v>5</v>
      </c>
      <c r="D1700" t="s">
        <v>23</v>
      </c>
      <c r="E1700">
        <v>0.24797143784485556</v>
      </c>
    </row>
    <row r="1701" spans="1:5" x14ac:dyDescent="0.25">
      <c r="A1701" t="s">
        <v>405</v>
      </c>
      <c r="B1701" t="s">
        <v>285</v>
      </c>
      <c r="C1701" t="s">
        <v>4</v>
      </c>
      <c r="D1701" t="s">
        <v>23</v>
      </c>
      <c r="E1701">
        <v>0.38970164727565954</v>
      </c>
    </row>
    <row r="1702" spans="1:5" x14ac:dyDescent="0.25">
      <c r="A1702" t="s">
        <v>405</v>
      </c>
      <c r="B1702" t="s">
        <v>285</v>
      </c>
      <c r="C1702" t="s">
        <v>5</v>
      </c>
      <c r="D1702" t="s">
        <v>23</v>
      </c>
      <c r="E1702">
        <v>0.10569600974718243</v>
      </c>
    </row>
    <row r="1703" spans="1:5" x14ac:dyDescent="0.25">
      <c r="A1703" t="s">
        <v>405</v>
      </c>
      <c r="B1703" t="s">
        <v>288</v>
      </c>
      <c r="C1703" t="s">
        <v>4</v>
      </c>
      <c r="D1703" t="s">
        <v>23</v>
      </c>
      <c r="E1703">
        <v>0.42138873171126018</v>
      </c>
    </row>
    <row r="1704" spans="1:5" x14ac:dyDescent="0.25">
      <c r="A1704" t="s">
        <v>405</v>
      </c>
      <c r="B1704" t="s">
        <v>288</v>
      </c>
      <c r="C1704" t="s">
        <v>18</v>
      </c>
      <c r="D1704" t="s">
        <v>23</v>
      </c>
      <c r="E1704">
        <v>0.40090600226500567</v>
      </c>
    </row>
    <row r="1705" spans="1:5" x14ac:dyDescent="0.25">
      <c r="A1705" t="s">
        <v>405</v>
      </c>
      <c r="B1705" t="s">
        <v>288</v>
      </c>
      <c r="C1705" t="s">
        <v>5</v>
      </c>
      <c r="D1705" t="s">
        <v>23</v>
      </c>
      <c r="E1705">
        <v>0.24946037619488129</v>
      </c>
    </row>
    <row r="1706" spans="1:5" x14ac:dyDescent="0.25">
      <c r="A1706" t="s">
        <v>405</v>
      </c>
      <c r="B1706" t="s">
        <v>16</v>
      </c>
      <c r="C1706" t="s">
        <v>4</v>
      </c>
      <c r="D1706" t="s">
        <v>621</v>
      </c>
      <c r="E1706">
        <v>0.69572567012798836</v>
      </c>
    </row>
    <row r="1707" spans="1:5" x14ac:dyDescent="0.25">
      <c r="A1707" t="s">
        <v>405</v>
      </c>
      <c r="B1707" t="s">
        <v>16</v>
      </c>
      <c r="C1707" t="s">
        <v>18</v>
      </c>
      <c r="D1707" t="s">
        <v>621</v>
      </c>
      <c r="E1707">
        <v>0.50548112058465289</v>
      </c>
    </row>
    <row r="1708" spans="1:5" x14ac:dyDescent="0.25">
      <c r="A1708" t="s">
        <v>405</v>
      </c>
      <c r="B1708" t="s">
        <v>16</v>
      </c>
      <c r="C1708" t="s">
        <v>5</v>
      </c>
      <c r="D1708" t="s">
        <v>621</v>
      </c>
      <c r="E1708">
        <v>0.6702369360597209</v>
      </c>
    </row>
    <row r="1709" spans="1:5" x14ac:dyDescent="0.25">
      <c r="A1709" t="s">
        <v>405</v>
      </c>
      <c r="B1709" t="s">
        <v>285</v>
      </c>
      <c r="C1709" t="s">
        <v>4</v>
      </c>
      <c r="D1709" t="s">
        <v>621</v>
      </c>
      <c r="E1709">
        <v>0.52874092846446263</v>
      </c>
    </row>
    <row r="1710" spans="1:5" x14ac:dyDescent="0.25">
      <c r="A1710" t="s">
        <v>405</v>
      </c>
      <c r="B1710" t="s">
        <v>285</v>
      </c>
      <c r="C1710" t="s">
        <v>5</v>
      </c>
      <c r="D1710" t="s">
        <v>621</v>
      </c>
      <c r="E1710">
        <v>0.82028632348461772</v>
      </c>
    </row>
    <row r="1711" spans="1:5" x14ac:dyDescent="0.25">
      <c r="A1711" t="s">
        <v>405</v>
      </c>
      <c r="B1711" t="s">
        <v>288</v>
      </c>
      <c r="C1711" t="s">
        <v>4</v>
      </c>
      <c r="D1711" t="s">
        <v>621</v>
      </c>
      <c r="E1711">
        <v>0.49721121978821442</v>
      </c>
    </row>
    <row r="1712" spans="1:5" x14ac:dyDescent="0.25">
      <c r="A1712" t="s">
        <v>405</v>
      </c>
      <c r="B1712" t="s">
        <v>288</v>
      </c>
      <c r="C1712" t="s">
        <v>18</v>
      </c>
      <c r="D1712" t="s">
        <v>621</v>
      </c>
      <c r="E1712">
        <v>0.55605889014722532</v>
      </c>
    </row>
    <row r="1713" spans="1:5" x14ac:dyDescent="0.25">
      <c r="A1713" t="s">
        <v>405</v>
      </c>
      <c r="B1713" t="s">
        <v>288</v>
      </c>
      <c r="C1713" t="s">
        <v>5</v>
      </c>
      <c r="D1713" t="s">
        <v>621</v>
      </c>
      <c r="E1713">
        <v>0.61609620721554115</v>
      </c>
    </row>
    <row r="1714" spans="1:5" x14ac:dyDescent="0.25">
      <c r="A1714" t="s">
        <v>405</v>
      </c>
      <c r="B1714" t="s">
        <v>16</v>
      </c>
      <c r="C1714" t="s">
        <v>5</v>
      </c>
      <c r="D1714" t="s">
        <v>256</v>
      </c>
      <c r="E1714" t="s">
        <v>283</v>
      </c>
    </row>
    <row r="1715" spans="1:5" x14ac:dyDescent="0.25">
      <c r="A1715" t="s">
        <v>405</v>
      </c>
      <c r="B1715" t="s">
        <v>16</v>
      </c>
      <c r="C1715" t="s">
        <v>4</v>
      </c>
      <c r="D1715" t="s">
        <v>24</v>
      </c>
      <c r="E1715">
        <v>366.81</v>
      </c>
    </row>
    <row r="1716" spans="1:5" x14ac:dyDescent="0.25">
      <c r="A1716" t="s">
        <v>405</v>
      </c>
      <c r="B1716" t="s">
        <v>16</v>
      </c>
      <c r="C1716" t="s">
        <v>18</v>
      </c>
      <c r="D1716" t="s">
        <v>24</v>
      </c>
      <c r="E1716">
        <v>75.55</v>
      </c>
    </row>
    <row r="1717" spans="1:5" x14ac:dyDescent="0.25">
      <c r="A1717" t="s">
        <v>405</v>
      </c>
      <c r="B1717" t="s">
        <v>16</v>
      </c>
      <c r="C1717" t="s">
        <v>5</v>
      </c>
      <c r="D1717" t="s">
        <v>24</v>
      </c>
      <c r="E1717">
        <v>201.14</v>
      </c>
    </row>
    <row r="1718" spans="1:5" x14ac:dyDescent="0.25">
      <c r="A1718" t="s">
        <v>405</v>
      </c>
      <c r="B1718" t="s">
        <v>285</v>
      </c>
      <c r="C1718" t="s">
        <v>4</v>
      </c>
      <c r="D1718" t="s">
        <v>24</v>
      </c>
      <c r="E1718">
        <v>329.48999999999978</v>
      </c>
    </row>
    <row r="1719" spans="1:5" x14ac:dyDescent="0.25">
      <c r="A1719" t="s">
        <v>405</v>
      </c>
      <c r="B1719" t="s">
        <v>285</v>
      </c>
      <c r="C1719" t="s">
        <v>18</v>
      </c>
      <c r="D1719" t="s">
        <v>24</v>
      </c>
      <c r="E1719">
        <v>2.15</v>
      </c>
    </row>
    <row r="1720" spans="1:5" x14ac:dyDescent="0.25">
      <c r="A1720" t="s">
        <v>405</v>
      </c>
      <c r="B1720" t="s">
        <v>285</v>
      </c>
      <c r="C1720" t="s">
        <v>5</v>
      </c>
      <c r="D1720" t="s">
        <v>24</v>
      </c>
      <c r="E1720">
        <v>233.56999999999991</v>
      </c>
    </row>
    <row r="1721" spans="1:5" x14ac:dyDescent="0.25">
      <c r="A1721" t="s">
        <v>405</v>
      </c>
      <c r="B1721" t="s">
        <v>288</v>
      </c>
      <c r="C1721" t="s">
        <v>4</v>
      </c>
      <c r="D1721" t="s">
        <v>24</v>
      </c>
      <c r="E1721">
        <v>233.6</v>
      </c>
    </row>
    <row r="1722" spans="1:5" x14ac:dyDescent="0.25">
      <c r="A1722" t="s">
        <v>405</v>
      </c>
      <c r="B1722" t="s">
        <v>288</v>
      </c>
      <c r="C1722" t="s">
        <v>5</v>
      </c>
      <c r="D1722" t="s">
        <v>24</v>
      </c>
      <c r="E1722">
        <v>66.23</v>
      </c>
    </row>
    <row r="1723" spans="1:5" x14ac:dyDescent="0.25">
      <c r="A1723" t="s">
        <v>405</v>
      </c>
      <c r="B1723" t="s">
        <v>16</v>
      </c>
      <c r="C1723" t="s">
        <v>19</v>
      </c>
      <c r="D1723" t="s">
        <v>45</v>
      </c>
      <c r="E1723">
        <v>2058952</v>
      </c>
    </row>
    <row r="1724" spans="1:5" x14ac:dyDescent="0.25">
      <c r="A1724" t="s">
        <v>405</v>
      </c>
      <c r="B1724" t="s">
        <v>285</v>
      </c>
      <c r="C1724" t="s">
        <v>19</v>
      </c>
      <c r="D1724" t="s">
        <v>45</v>
      </c>
      <c r="E1724">
        <v>1601493</v>
      </c>
    </row>
    <row r="1725" spans="1:5" x14ac:dyDescent="0.25">
      <c r="A1725" t="s">
        <v>405</v>
      </c>
      <c r="B1725" t="s">
        <v>288</v>
      </c>
      <c r="C1725" t="s">
        <v>19</v>
      </c>
      <c r="D1725" t="s">
        <v>45</v>
      </c>
      <c r="E1725">
        <v>1789949</v>
      </c>
    </row>
    <row r="1726" spans="1:5" x14ac:dyDescent="0.25">
      <c r="A1726" t="s">
        <v>405</v>
      </c>
      <c r="B1726" t="s">
        <v>16</v>
      </c>
      <c r="C1726" t="s">
        <v>19</v>
      </c>
      <c r="D1726" t="s">
        <v>46</v>
      </c>
      <c r="E1726">
        <v>38578</v>
      </c>
    </row>
    <row r="1727" spans="1:5" x14ac:dyDescent="0.25">
      <c r="A1727" t="s">
        <v>405</v>
      </c>
      <c r="B1727" t="s">
        <v>285</v>
      </c>
      <c r="C1727" t="s">
        <v>19</v>
      </c>
      <c r="D1727" t="s">
        <v>46</v>
      </c>
      <c r="E1727">
        <v>29461</v>
      </c>
    </row>
    <row r="1728" spans="1:5" x14ac:dyDescent="0.25">
      <c r="A1728" t="s">
        <v>405</v>
      </c>
      <c r="B1728" t="s">
        <v>288</v>
      </c>
      <c r="C1728" t="s">
        <v>19</v>
      </c>
      <c r="D1728" t="s">
        <v>46</v>
      </c>
      <c r="E1728">
        <v>33714</v>
      </c>
    </row>
    <row r="1729" spans="1:5" x14ac:dyDescent="0.25">
      <c r="A1729" t="s">
        <v>456</v>
      </c>
      <c r="B1729" t="s">
        <v>16</v>
      </c>
      <c r="C1729" t="s">
        <v>5</v>
      </c>
      <c r="D1729" t="s">
        <v>226</v>
      </c>
      <c r="E1729">
        <v>281.08333333333331</v>
      </c>
    </row>
    <row r="1730" spans="1:5" x14ac:dyDescent="0.25">
      <c r="A1730" t="s">
        <v>456</v>
      </c>
      <c r="B1730" t="s">
        <v>16</v>
      </c>
      <c r="C1730" t="s">
        <v>4</v>
      </c>
      <c r="D1730" t="s">
        <v>48</v>
      </c>
      <c r="E1730">
        <v>88933.242027416927</v>
      </c>
    </row>
    <row r="1731" spans="1:5" x14ac:dyDescent="0.25">
      <c r="A1731" t="s">
        <v>456</v>
      </c>
      <c r="B1731" t="s">
        <v>16</v>
      </c>
      <c r="C1731" t="s">
        <v>5</v>
      </c>
      <c r="D1731" t="s">
        <v>48</v>
      </c>
      <c r="E1731">
        <v>37312.754112554117</v>
      </c>
    </row>
    <row r="1732" spans="1:5" x14ac:dyDescent="0.25">
      <c r="A1732" t="s">
        <v>456</v>
      </c>
      <c r="B1732" t="s">
        <v>285</v>
      </c>
      <c r="C1732" t="s">
        <v>4</v>
      </c>
      <c r="D1732" t="s">
        <v>48</v>
      </c>
      <c r="E1732">
        <v>112821.14134199142</v>
      </c>
    </row>
    <row r="1733" spans="1:5" x14ac:dyDescent="0.25">
      <c r="A1733" t="s">
        <v>456</v>
      </c>
      <c r="B1733" t="s">
        <v>285</v>
      </c>
      <c r="C1733" t="s">
        <v>5</v>
      </c>
      <c r="D1733" t="s">
        <v>48</v>
      </c>
      <c r="E1733">
        <v>57805.047655122726</v>
      </c>
    </row>
    <row r="1734" spans="1:5" x14ac:dyDescent="0.25">
      <c r="A1734" t="s">
        <v>456</v>
      </c>
      <c r="B1734" t="s">
        <v>288</v>
      </c>
      <c r="C1734" t="s">
        <v>4</v>
      </c>
      <c r="D1734" t="s">
        <v>48</v>
      </c>
      <c r="E1734">
        <v>65183.876767676658</v>
      </c>
    </row>
    <row r="1735" spans="1:5" x14ac:dyDescent="0.25">
      <c r="A1735" t="s">
        <v>456</v>
      </c>
      <c r="B1735" t="s">
        <v>288</v>
      </c>
      <c r="C1735" t="s">
        <v>18</v>
      </c>
      <c r="D1735" t="s">
        <v>48</v>
      </c>
      <c r="E1735">
        <v>5832.0479797979715</v>
      </c>
    </row>
    <row r="1736" spans="1:5" x14ac:dyDescent="0.25">
      <c r="A1736" t="s">
        <v>456</v>
      </c>
      <c r="B1736" t="s">
        <v>16</v>
      </c>
      <c r="C1736" t="s">
        <v>4</v>
      </c>
      <c r="D1736" t="s">
        <v>227</v>
      </c>
      <c r="E1736">
        <v>80351.008766233906</v>
      </c>
    </row>
    <row r="1737" spans="1:5" x14ac:dyDescent="0.25">
      <c r="A1737" t="s">
        <v>456</v>
      </c>
      <c r="B1737" t="s">
        <v>16</v>
      </c>
      <c r="C1737" t="s">
        <v>18</v>
      </c>
      <c r="D1737" t="s">
        <v>227</v>
      </c>
      <c r="E1737">
        <v>15321.387878787877</v>
      </c>
    </row>
    <row r="1738" spans="1:5" x14ac:dyDescent="0.25">
      <c r="A1738" t="s">
        <v>456</v>
      </c>
      <c r="B1738" t="s">
        <v>16</v>
      </c>
      <c r="C1738" t="s">
        <v>5</v>
      </c>
      <c r="D1738" t="s">
        <v>227</v>
      </c>
      <c r="E1738">
        <v>39695.923304473326</v>
      </c>
    </row>
    <row r="1739" spans="1:5" x14ac:dyDescent="0.25">
      <c r="A1739" t="s">
        <v>456</v>
      </c>
      <c r="B1739" t="s">
        <v>285</v>
      </c>
      <c r="C1739" t="s">
        <v>4</v>
      </c>
      <c r="D1739" t="s">
        <v>227</v>
      </c>
      <c r="E1739">
        <v>102676.92658730171</v>
      </c>
    </row>
    <row r="1740" spans="1:5" x14ac:dyDescent="0.25">
      <c r="A1740" t="s">
        <v>456</v>
      </c>
      <c r="B1740" t="s">
        <v>285</v>
      </c>
      <c r="C1740" t="s">
        <v>5</v>
      </c>
      <c r="D1740" t="s">
        <v>227</v>
      </c>
      <c r="E1740">
        <v>54740.377922077954</v>
      </c>
    </row>
    <row r="1741" spans="1:5" x14ac:dyDescent="0.25">
      <c r="A1741" t="s">
        <v>456</v>
      </c>
      <c r="B1741" t="s">
        <v>288</v>
      </c>
      <c r="C1741" t="s">
        <v>4</v>
      </c>
      <c r="D1741" t="s">
        <v>227</v>
      </c>
      <c r="E1741">
        <v>101630.55472582982</v>
      </c>
    </row>
    <row r="1742" spans="1:5" x14ac:dyDescent="0.25">
      <c r="A1742" t="s">
        <v>456</v>
      </c>
      <c r="B1742" t="s">
        <v>288</v>
      </c>
      <c r="C1742" t="s">
        <v>18</v>
      </c>
      <c r="D1742" t="s">
        <v>227</v>
      </c>
      <c r="E1742">
        <v>13712.232323232323</v>
      </c>
    </row>
    <row r="1743" spans="1:5" x14ac:dyDescent="0.25">
      <c r="A1743" t="s">
        <v>456</v>
      </c>
      <c r="B1743" t="s">
        <v>288</v>
      </c>
      <c r="C1743" t="s">
        <v>5</v>
      </c>
      <c r="D1743" t="s">
        <v>227</v>
      </c>
      <c r="E1743">
        <v>88335.206565656539</v>
      </c>
    </row>
    <row r="1744" spans="1:5" x14ac:dyDescent="0.25">
      <c r="A1744" t="s">
        <v>456</v>
      </c>
      <c r="B1744" t="s">
        <v>285</v>
      </c>
      <c r="C1744" t="s">
        <v>4</v>
      </c>
      <c r="D1744" t="s">
        <v>290</v>
      </c>
      <c r="E1744">
        <v>34158.083802308793</v>
      </c>
    </row>
    <row r="1745" spans="1:5" x14ac:dyDescent="0.25">
      <c r="A1745" t="s">
        <v>456</v>
      </c>
      <c r="B1745" t="s">
        <v>288</v>
      </c>
      <c r="C1745" t="s">
        <v>4</v>
      </c>
      <c r="D1745" t="s">
        <v>290</v>
      </c>
      <c r="E1745">
        <v>87429.687373737426</v>
      </c>
    </row>
    <row r="1746" spans="1:5" x14ac:dyDescent="0.25">
      <c r="A1746" t="s">
        <v>456</v>
      </c>
      <c r="B1746" t="s">
        <v>288</v>
      </c>
      <c r="C1746" t="s">
        <v>18</v>
      </c>
      <c r="D1746" t="s">
        <v>290</v>
      </c>
      <c r="E1746">
        <v>11531.838888888888</v>
      </c>
    </row>
    <row r="1747" spans="1:5" x14ac:dyDescent="0.25">
      <c r="A1747" t="s">
        <v>456</v>
      </c>
      <c r="B1747" t="s">
        <v>288</v>
      </c>
      <c r="C1747" t="s">
        <v>5</v>
      </c>
      <c r="D1747" t="s">
        <v>290</v>
      </c>
      <c r="E1747">
        <v>119569.15505050514</v>
      </c>
    </row>
    <row r="1748" spans="1:5" x14ac:dyDescent="0.25">
      <c r="A1748" t="s">
        <v>456</v>
      </c>
      <c r="B1748" t="s">
        <v>16</v>
      </c>
      <c r="C1748" t="s">
        <v>4</v>
      </c>
      <c r="D1748" t="s">
        <v>49</v>
      </c>
      <c r="E1748">
        <v>151318.66857864393</v>
      </c>
    </row>
    <row r="1749" spans="1:5" x14ac:dyDescent="0.25">
      <c r="A1749" t="s">
        <v>456</v>
      </c>
      <c r="B1749" t="s">
        <v>16</v>
      </c>
      <c r="C1749" t="s">
        <v>18</v>
      </c>
      <c r="D1749" t="s">
        <v>49</v>
      </c>
      <c r="E1749">
        <v>13777.608477633476</v>
      </c>
    </row>
    <row r="1750" spans="1:5" x14ac:dyDescent="0.25">
      <c r="A1750" t="s">
        <v>456</v>
      </c>
      <c r="B1750" t="s">
        <v>16</v>
      </c>
      <c r="C1750" t="s">
        <v>5</v>
      </c>
      <c r="D1750" t="s">
        <v>49</v>
      </c>
      <c r="E1750">
        <v>85705.366666666625</v>
      </c>
    </row>
    <row r="1751" spans="1:5" x14ac:dyDescent="0.25">
      <c r="A1751" t="s">
        <v>456</v>
      </c>
      <c r="B1751" t="s">
        <v>285</v>
      </c>
      <c r="C1751" t="s">
        <v>4</v>
      </c>
      <c r="D1751" t="s">
        <v>49</v>
      </c>
      <c r="E1751">
        <v>117453.13639971148</v>
      </c>
    </row>
    <row r="1752" spans="1:5" x14ac:dyDescent="0.25">
      <c r="A1752" t="s">
        <v>456</v>
      </c>
      <c r="B1752" t="s">
        <v>285</v>
      </c>
      <c r="C1752" t="s">
        <v>5</v>
      </c>
      <c r="D1752" t="s">
        <v>49</v>
      </c>
      <c r="E1752">
        <v>108032.71327561328</v>
      </c>
    </row>
    <row r="1753" spans="1:5" x14ac:dyDescent="0.25">
      <c r="A1753" t="s">
        <v>456</v>
      </c>
      <c r="B1753" t="s">
        <v>288</v>
      </c>
      <c r="C1753" t="s">
        <v>4</v>
      </c>
      <c r="D1753" t="s">
        <v>49</v>
      </c>
      <c r="E1753">
        <v>175093.15021645016</v>
      </c>
    </row>
    <row r="1754" spans="1:5" x14ac:dyDescent="0.25">
      <c r="A1754" t="s">
        <v>456</v>
      </c>
      <c r="B1754" t="s">
        <v>288</v>
      </c>
      <c r="C1754" t="s">
        <v>18</v>
      </c>
      <c r="D1754" t="s">
        <v>49</v>
      </c>
      <c r="E1754">
        <v>13791.83333333333</v>
      </c>
    </row>
    <row r="1755" spans="1:5" x14ac:dyDescent="0.25">
      <c r="A1755" t="s">
        <v>456</v>
      </c>
      <c r="B1755" t="s">
        <v>288</v>
      </c>
      <c r="C1755" t="s">
        <v>5</v>
      </c>
      <c r="D1755" t="s">
        <v>49</v>
      </c>
      <c r="E1755">
        <v>58364.856060606042</v>
      </c>
    </row>
    <row r="1756" spans="1:5" x14ac:dyDescent="0.25">
      <c r="A1756" t="s">
        <v>456</v>
      </c>
      <c r="B1756" t="s">
        <v>16</v>
      </c>
      <c r="C1756" t="s">
        <v>4</v>
      </c>
      <c r="D1756" t="s">
        <v>228</v>
      </c>
      <c r="E1756">
        <v>93849.651190476099</v>
      </c>
    </row>
    <row r="1757" spans="1:5" x14ac:dyDescent="0.25">
      <c r="A1757" t="s">
        <v>456</v>
      </c>
      <c r="B1757" t="s">
        <v>285</v>
      </c>
      <c r="C1757" t="s">
        <v>4</v>
      </c>
      <c r="D1757" t="s">
        <v>228</v>
      </c>
      <c r="E1757">
        <v>92509.140584415611</v>
      </c>
    </row>
    <row r="1758" spans="1:5" x14ac:dyDescent="0.25">
      <c r="A1758" t="s">
        <v>456</v>
      </c>
      <c r="B1758" t="s">
        <v>285</v>
      </c>
      <c r="C1758" t="s">
        <v>5</v>
      </c>
      <c r="D1758" t="s">
        <v>228</v>
      </c>
      <c r="E1758">
        <v>26069.595454545437</v>
      </c>
    </row>
    <row r="1759" spans="1:5" x14ac:dyDescent="0.25">
      <c r="A1759" t="s">
        <v>456</v>
      </c>
      <c r="B1759" t="s">
        <v>288</v>
      </c>
      <c r="C1759" t="s">
        <v>4</v>
      </c>
      <c r="D1759" t="s">
        <v>228</v>
      </c>
      <c r="E1759">
        <v>16124.095454545461</v>
      </c>
    </row>
    <row r="1760" spans="1:5" x14ac:dyDescent="0.25">
      <c r="A1760" t="s">
        <v>456</v>
      </c>
      <c r="B1760" t="s">
        <v>288</v>
      </c>
      <c r="C1760" t="s">
        <v>18</v>
      </c>
      <c r="D1760" t="s">
        <v>228</v>
      </c>
      <c r="E1760">
        <v>7737.9303030303008</v>
      </c>
    </row>
    <row r="1761" spans="1:5" x14ac:dyDescent="0.25">
      <c r="A1761" t="s">
        <v>456</v>
      </c>
      <c r="B1761" t="s">
        <v>288</v>
      </c>
      <c r="C1761" t="s">
        <v>5</v>
      </c>
      <c r="D1761" t="s">
        <v>228</v>
      </c>
      <c r="E1761">
        <v>17100.001010101012</v>
      </c>
    </row>
    <row r="1762" spans="1:5" x14ac:dyDescent="0.25">
      <c r="A1762" t="s">
        <v>456</v>
      </c>
      <c r="B1762" t="s">
        <v>16</v>
      </c>
      <c r="C1762" t="s">
        <v>4</v>
      </c>
      <c r="D1762" t="s">
        <v>229</v>
      </c>
      <c r="E1762">
        <v>131855.37222222215</v>
      </c>
    </row>
    <row r="1763" spans="1:5" x14ac:dyDescent="0.25">
      <c r="A1763" t="s">
        <v>456</v>
      </c>
      <c r="B1763" t="s">
        <v>16</v>
      </c>
      <c r="C1763" t="s">
        <v>18</v>
      </c>
      <c r="D1763" t="s">
        <v>229</v>
      </c>
      <c r="E1763">
        <v>11817.022366522366</v>
      </c>
    </row>
    <row r="1764" spans="1:5" x14ac:dyDescent="0.25">
      <c r="A1764" t="s">
        <v>456</v>
      </c>
      <c r="B1764" t="s">
        <v>16</v>
      </c>
      <c r="C1764" t="s">
        <v>5</v>
      </c>
      <c r="D1764" t="s">
        <v>229</v>
      </c>
      <c r="E1764">
        <v>68852.651515151534</v>
      </c>
    </row>
    <row r="1765" spans="1:5" x14ac:dyDescent="0.25">
      <c r="A1765" t="s">
        <v>456</v>
      </c>
      <c r="B1765" t="s">
        <v>285</v>
      </c>
      <c r="C1765" t="s">
        <v>4</v>
      </c>
      <c r="D1765" t="s">
        <v>229</v>
      </c>
      <c r="E1765">
        <v>105604.77290764784</v>
      </c>
    </row>
    <row r="1766" spans="1:5" x14ac:dyDescent="0.25">
      <c r="A1766" t="s">
        <v>456</v>
      </c>
      <c r="B1766" t="s">
        <v>285</v>
      </c>
      <c r="C1766" t="s">
        <v>5</v>
      </c>
      <c r="D1766" t="s">
        <v>229</v>
      </c>
      <c r="E1766">
        <v>115294.9186147186</v>
      </c>
    </row>
    <row r="1767" spans="1:5" x14ac:dyDescent="0.25">
      <c r="A1767" t="s">
        <v>456</v>
      </c>
      <c r="B1767" t="s">
        <v>288</v>
      </c>
      <c r="C1767" t="s">
        <v>4</v>
      </c>
      <c r="D1767" t="s">
        <v>229</v>
      </c>
      <c r="E1767">
        <v>112437.91244588756</v>
      </c>
    </row>
    <row r="1768" spans="1:5" x14ac:dyDescent="0.25">
      <c r="A1768" t="s">
        <v>456</v>
      </c>
      <c r="B1768" t="s">
        <v>288</v>
      </c>
      <c r="C1768" t="s">
        <v>18</v>
      </c>
      <c r="D1768" t="s">
        <v>229</v>
      </c>
      <c r="E1768">
        <v>1751.7499999999995</v>
      </c>
    </row>
    <row r="1769" spans="1:5" x14ac:dyDescent="0.25">
      <c r="A1769" t="s">
        <v>456</v>
      </c>
      <c r="B1769" t="s">
        <v>288</v>
      </c>
      <c r="C1769" t="s">
        <v>5</v>
      </c>
      <c r="D1769" t="s">
        <v>229</v>
      </c>
      <c r="E1769">
        <v>84631.401010100977</v>
      </c>
    </row>
    <row r="1770" spans="1:5" x14ac:dyDescent="0.25">
      <c r="A1770" t="s">
        <v>456</v>
      </c>
      <c r="B1770" t="s">
        <v>16</v>
      </c>
      <c r="C1770" t="s">
        <v>18</v>
      </c>
      <c r="D1770" t="s">
        <v>50</v>
      </c>
      <c r="E1770">
        <v>13275.211904761913</v>
      </c>
    </row>
    <row r="1771" spans="1:5" x14ac:dyDescent="0.25">
      <c r="A1771" t="s">
        <v>456</v>
      </c>
      <c r="B1771" t="s">
        <v>16</v>
      </c>
      <c r="C1771" t="s">
        <v>5</v>
      </c>
      <c r="D1771" t="s">
        <v>50</v>
      </c>
      <c r="E1771">
        <v>38534.350216450177</v>
      </c>
    </row>
    <row r="1772" spans="1:5" x14ac:dyDescent="0.25">
      <c r="A1772" t="s">
        <v>456</v>
      </c>
      <c r="B1772" t="s">
        <v>285</v>
      </c>
      <c r="C1772" t="s">
        <v>4</v>
      </c>
      <c r="D1772" t="s">
        <v>50</v>
      </c>
      <c r="E1772">
        <v>1871.1027777777776</v>
      </c>
    </row>
    <row r="1773" spans="1:5" x14ac:dyDescent="0.25">
      <c r="A1773" t="s">
        <v>456</v>
      </c>
      <c r="B1773" t="s">
        <v>16</v>
      </c>
      <c r="C1773" t="s">
        <v>18</v>
      </c>
      <c r="D1773" t="s">
        <v>59</v>
      </c>
      <c r="E1773" t="s">
        <v>457</v>
      </c>
    </row>
    <row r="1774" spans="1:5" x14ac:dyDescent="0.25">
      <c r="A1774" t="s">
        <v>456</v>
      </c>
      <c r="B1774" t="s">
        <v>16</v>
      </c>
      <c r="C1774" t="s">
        <v>4</v>
      </c>
      <c r="D1774" t="s">
        <v>59</v>
      </c>
      <c r="E1774" t="s">
        <v>461</v>
      </c>
    </row>
    <row r="1775" spans="1:5" x14ac:dyDescent="0.25">
      <c r="A1775" t="s">
        <v>456</v>
      </c>
      <c r="B1775" t="s">
        <v>16</v>
      </c>
      <c r="C1775" t="s">
        <v>5</v>
      </c>
      <c r="D1775" t="s">
        <v>59</v>
      </c>
      <c r="E1775" t="s">
        <v>466</v>
      </c>
    </row>
    <row r="1776" spans="1:5" x14ac:dyDescent="0.25">
      <c r="A1776" t="s">
        <v>456</v>
      </c>
      <c r="B1776" t="s">
        <v>288</v>
      </c>
      <c r="C1776" t="s">
        <v>18</v>
      </c>
      <c r="D1776" t="s">
        <v>59</v>
      </c>
      <c r="E1776" t="s">
        <v>467</v>
      </c>
    </row>
    <row r="1777" spans="1:5" x14ac:dyDescent="0.25">
      <c r="A1777" t="s">
        <v>456</v>
      </c>
      <c r="B1777" t="s">
        <v>288</v>
      </c>
      <c r="C1777" t="s">
        <v>4</v>
      </c>
      <c r="D1777" t="s">
        <v>59</v>
      </c>
      <c r="E1777" t="s">
        <v>470</v>
      </c>
    </row>
    <row r="1778" spans="1:5" x14ac:dyDescent="0.25">
      <c r="A1778" t="s">
        <v>456</v>
      </c>
      <c r="B1778" t="s">
        <v>288</v>
      </c>
      <c r="C1778" t="s">
        <v>5</v>
      </c>
      <c r="D1778" t="s">
        <v>59</v>
      </c>
      <c r="E1778" t="s">
        <v>475</v>
      </c>
    </row>
    <row r="1779" spans="1:5" x14ac:dyDescent="0.25">
      <c r="A1779" t="s">
        <v>456</v>
      </c>
      <c r="B1779" t="s">
        <v>285</v>
      </c>
      <c r="C1779" t="s">
        <v>4</v>
      </c>
      <c r="D1779" t="s">
        <v>59</v>
      </c>
      <c r="E1779" t="s">
        <v>476</v>
      </c>
    </row>
    <row r="1780" spans="1:5" x14ac:dyDescent="0.25">
      <c r="A1780" t="s">
        <v>456</v>
      </c>
      <c r="B1780" t="s">
        <v>285</v>
      </c>
      <c r="C1780" t="s">
        <v>5</v>
      </c>
      <c r="D1780" t="s">
        <v>59</v>
      </c>
      <c r="E1780" t="s">
        <v>481</v>
      </c>
    </row>
    <row r="1781" spans="1:5" x14ac:dyDescent="0.25">
      <c r="A1781" t="s">
        <v>456</v>
      </c>
      <c r="B1781" t="s">
        <v>16</v>
      </c>
      <c r="C1781" t="s">
        <v>18</v>
      </c>
      <c r="D1781" t="s">
        <v>63</v>
      </c>
      <c r="E1781" t="s">
        <v>458</v>
      </c>
    </row>
    <row r="1782" spans="1:5" x14ac:dyDescent="0.25">
      <c r="A1782" t="s">
        <v>456</v>
      </c>
      <c r="B1782" t="s">
        <v>16</v>
      </c>
      <c r="C1782" t="s">
        <v>4</v>
      </c>
      <c r="D1782" t="s">
        <v>63</v>
      </c>
      <c r="E1782" t="s">
        <v>462</v>
      </c>
    </row>
    <row r="1783" spans="1:5" x14ac:dyDescent="0.25">
      <c r="A1783" t="s">
        <v>456</v>
      </c>
      <c r="B1783" t="s">
        <v>288</v>
      </c>
      <c r="C1783" t="s">
        <v>18</v>
      </c>
      <c r="D1783" t="s">
        <v>63</v>
      </c>
      <c r="E1783" t="s">
        <v>468</v>
      </c>
    </row>
    <row r="1784" spans="1:5" x14ac:dyDescent="0.25">
      <c r="A1784" t="s">
        <v>456</v>
      </c>
      <c r="B1784" t="s">
        <v>288</v>
      </c>
      <c r="C1784" t="s">
        <v>4</v>
      </c>
      <c r="D1784" t="s">
        <v>63</v>
      </c>
      <c r="E1784" t="s">
        <v>471</v>
      </c>
    </row>
    <row r="1785" spans="1:5" x14ac:dyDescent="0.25">
      <c r="A1785" t="s">
        <v>456</v>
      </c>
      <c r="B1785" t="s">
        <v>285</v>
      </c>
      <c r="C1785" t="s">
        <v>4</v>
      </c>
      <c r="D1785" t="s">
        <v>63</v>
      </c>
      <c r="E1785" t="s">
        <v>477</v>
      </c>
    </row>
    <row r="1786" spans="1:5" x14ac:dyDescent="0.25">
      <c r="A1786" t="s">
        <v>456</v>
      </c>
      <c r="B1786" t="s">
        <v>16</v>
      </c>
      <c r="C1786" t="s">
        <v>5</v>
      </c>
      <c r="D1786" t="s">
        <v>63</v>
      </c>
      <c r="E1786" t="s">
        <v>482</v>
      </c>
    </row>
    <row r="1787" spans="1:5" x14ac:dyDescent="0.25">
      <c r="A1787" t="s">
        <v>456</v>
      </c>
      <c r="B1787" t="s">
        <v>288</v>
      </c>
      <c r="C1787" t="s">
        <v>5</v>
      </c>
      <c r="D1787" t="s">
        <v>63</v>
      </c>
      <c r="E1787" t="s">
        <v>483</v>
      </c>
    </row>
    <row r="1788" spans="1:5" x14ac:dyDescent="0.25">
      <c r="A1788" t="s">
        <v>456</v>
      </c>
      <c r="B1788" t="s">
        <v>285</v>
      </c>
      <c r="C1788" t="s">
        <v>5</v>
      </c>
      <c r="D1788" t="s">
        <v>63</v>
      </c>
      <c r="E1788" t="s">
        <v>484</v>
      </c>
    </row>
    <row r="1789" spans="1:5" x14ac:dyDescent="0.25">
      <c r="A1789" t="s">
        <v>456</v>
      </c>
      <c r="B1789" t="s">
        <v>16</v>
      </c>
      <c r="C1789" t="s">
        <v>18</v>
      </c>
      <c r="D1789" t="s">
        <v>67</v>
      </c>
      <c r="E1789" t="s">
        <v>459</v>
      </c>
    </row>
    <row r="1790" spans="1:5" x14ac:dyDescent="0.25">
      <c r="A1790" t="s">
        <v>456</v>
      </c>
      <c r="B1790" t="s">
        <v>16</v>
      </c>
      <c r="C1790" t="s">
        <v>4</v>
      </c>
      <c r="D1790" t="s">
        <v>67</v>
      </c>
      <c r="E1790" t="s">
        <v>463</v>
      </c>
    </row>
    <row r="1791" spans="1:5" x14ac:dyDescent="0.25">
      <c r="A1791" t="s">
        <v>456</v>
      </c>
      <c r="B1791" t="s">
        <v>288</v>
      </c>
      <c r="C1791" t="s">
        <v>18</v>
      </c>
      <c r="D1791" t="s">
        <v>67</v>
      </c>
      <c r="E1791" t="s">
        <v>469</v>
      </c>
    </row>
    <row r="1792" spans="1:5" x14ac:dyDescent="0.25">
      <c r="A1792" t="s">
        <v>456</v>
      </c>
      <c r="B1792" t="s">
        <v>288</v>
      </c>
      <c r="C1792" t="s">
        <v>4</v>
      </c>
      <c r="D1792" t="s">
        <v>67</v>
      </c>
      <c r="E1792" t="s">
        <v>472</v>
      </c>
    </row>
    <row r="1793" spans="1:5" x14ac:dyDescent="0.25">
      <c r="A1793" t="s">
        <v>456</v>
      </c>
      <c r="B1793" t="s">
        <v>285</v>
      </c>
      <c r="C1793" t="s">
        <v>4</v>
      </c>
      <c r="D1793" t="s">
        <v>67</v>
      </c>
      <c r="E1793" t="s">
        <v>478</v>
      </c>
    </row>
    <row r="1794" spans="1:5" x14ac:dyDescent="0.25">
      <c r="A1794" t="s">
        <v>456</v>
      </c>
      <c r="B1794" t="s">
        <v>16</v>
      </c>
      <c r="C1794" t="s">
        <v>5</v>
      </c>
      <c r="D1794" t="s">
        <v>67</v>
      </c>
      <c r="E1794" t="s">
        <v>485</v>
      </c>
    </row>
    <row r="1795" spans="1:5" x14ac:dyDescent="0.25">
      <c r="A1795" t="s">
        <v>456</v>
      </c>
      <c r="B1795" t="s">
        <v>288</v>
      </c>
      <c r="C1795" t="s">
        <v>5</v>
      </c>
      <c r="D1795" t="s">
        <v>67</v>
      </c>
      <c r="E1795" t="s">
        <v>486</v>
      </c>
    </row>
    <row r="1796" spans="1:5" x14ac:dyDescent="0.25">
      <c r="A1796" t="s">
        <v>456</v>
      </c>
      <c r="B1796" t="s">
        <v>285</v>
      </c>
      <c r="C1796" t="s">
        <v>5</v>
      </c>
      <c r="D1796" t="s">
        <v>67</v>
      </c>
      <c r="E1796" t="s">
        <v>487</v>
      </c>
    </row>
    <row r="1797" spans="1:5" x14ac:dyDescent="0.25">
      <c r="A1797" t="s">
        <v>456</v>
      </c>
      <c r="B1797" t="s">
        <v>16</v>
      </c>
      <c r="C1797" t="s">
        <v>18</v>
      </c>
      <c r="D1797" t="s">
        <v>233</v>
      </c>
      <c r="E1797" t="s">
        <v>460</v>
      </c>
    </row>
    <row r="1798" spans="1:5" x14ac:dyDescent="0.25">
      <c r="A1798" t="s">
        <v>456</v>
      </c>
      <c r="B1798" t="s">
        <v>16</v>
      </c>
      <c r="C1798" t="s">
        <v>4</v>
      </c>
      <c r="D1798" t="s">
        <v>233</v>
      </c>
      <c r="E1798" t="s">
        <v>464</v>
      </c>
    </row>
    <row r="1799" spans="1:5" x14ac:dyDescent="0.25">
      <c r="A1799" t="s">
        <v>456</v>
      </c>
      <c r="B1799" t="s">
        <v>288</v>
      </c>
      <c r="C1799" t="s">
        <v>18</v>
      </c>
      <c r="D1799" t="s">
        <v>233</v>
      </c>
      <c r="E1799" t="s">
        <v>368</v>
      </c>
    </row>
    <row r="1800" spans="1:5" x14ac:dyDescent="0.25">
      <c r="A1800" t="s">
        <v>456</v>
      </c>
      <c r="B1800" t="s">
        <v>288</v>
      </c>
      <c r="C1800" t="s">
        <v>4</v>
      </c>
      <c r="D1800" t="s">
        <v>233</v>
      </c>
      <c r="E1800" t="s">
        <v>473</v>
      </c>
    </row>
    <row r="1801" spans="1:5" x14ac:dyDescent="0.25">
      <c r="A1801" t="s">
        <v>456</v>
      </c>
      <c r="B1801" t="s">
        <v>285</v>
      </c>
      <c r="C1801" t="s">
        <v>4</v>
      </c>
      <c r="D1801" t="s">
        <v>233</v>
      </c>
      <c r="E1801" t="s">
        <v>479</v>
      </c>
    </row>
    <row r="1802" spans="1:5" x14ac:dyDescent="0.25">
      <c r="A1802" t="s">
        <v>456</v>
      </c>
      <c r="B1802" t="s">
        <v>16</v>
      </c>
      <c r="C1802" t="s">
        <v>5</v>
      </c>
      <c r="D1802" t="s">
        <v>233</v>
      </c>
      <c r="E1802" t="s">
        <v>488</v>
      </c>
    </row>
    <row r="1803" spans="1:5" x14ac:dyDescent="0.25">
      <c r="A1803" t="s">
        <v>456</v>
      </c>
      <c r="B1803" t="s">
        <v>288</v>
      </c>
      <c r="C1803" t="s">
        <v>5</v>
      </c>
      <c r="D1803" t="s">
        <v>233</v>
      </c>
      <c r="E1803" t="s">
        <v>489</v>
      </c>
    </row>
    <row r="1804" spans="1:5" x14ac:dyDescent="0.25">
      <c r="A1804" t="s">
        <v>456</v>
      </c>
      <c r="B1804" t="s">
        <v>285</v>
      </c>
      <c r="C1804" t="s">
        <v>5</v>
      </c>
      <c r="D1804" t="s">
        <v>233</v>
      </c>
      <c r="E1804" t="s">
        <v>490</v>
      </c>
    </row>
    <row r="1805" spans="1:5" x14ac:dyDescent="0.25">
      <c r="A1805" t="s">
        <v>456</v>
      </c>
      <c r="B1805" t="s">
        <v>16</v>
      </c>
      <c r="C1805" t="s">
        <v>4</v>
      </c>
      <c r="D1805" t="s">
        <v>239</v>
      </c>
      <c r="E1805" t="s">
        <v>465</v>
      </c>
    </row>
    <row r="1806" spans="1:5" x14ac:dyDescent="0.25">
      <c r="A1806" t="s">
        <v>456</v>
      </c>
      <c r="B1806" t="s">
        <v>288</v>
      </c>
      <c r="C1806" t="s">
        <v>4</v>
      </c>
      <c r="D1806" t="s">
        <v>239</v>
      </c>
      <c r="E1806" t="s">
        <v>474</v>
      </c>
    </row>
    <row r="1807" spans="1:5" x14ac:dyDescent="0.25">
      <c r="A1807" t="s">
        <v>456</v>
      </c>
      <c r="B1807" t="s">
        <v>285</v>
      </c>
      <c r="C1807" t="s">
        <v>4</v>
      </c>
      <c r="D1807" t="s">
        <v>239</v>
      </c>
      <c r="E1807" t="s">
        <v>480</v>
      </c>
    </row>
    <row r="1808" spans="1:5" x14ac:dyDescent="0.25">
      <c r="A1808" t="s">
        <v>456</v>
      </c>
      <c r="B1808" t="s">
        <v>16</v>
      </c>
      <c r="C1808" t="s">
        <v>5</v>
      </c>
      <c r="D1808" t="s">
        <v>239</v>
      </c>
      <c r="E1808" t="s">
        <v>491</v>
      </c>
    </row>
    <row r="1809" spans="1:5" x14ac:dyDescent="0.25">
      <c r="A1809" t="s">
        <v>456</v>
      </c>
      <c r="B1809" t="s">
        <v>288</v>
      </c>
      <c r="C1809" t="s">
        <v>5</v>
      </c>
      <c r="D1809" t="s">
        <v>239</v>
      </c>
      <c r="E1809" t="s">
        <v>492</v>
      </c>
    </row>
    <row r="1810" spans="1:5" x14ac:dyDescent="0.25">
      <c r="A1810" t="s">
        <v>456</v>
      </c>
      <c r="B1810" t="s">
        <v>285</v>
      </c>
      <c r="C1810" t="s">
        <v>5</v>
      </c>
      <c r="D1810" t="s">
        <v>239</v>
      </c>
      <c r="E1810" t="s">
        <v>493</v>
      </c>
    </row>
    <row r="1811" spans="1:5" x14ac:dyDescent="0.25">
      <c r="A1811" t="s">
        <v>456</v>
      </c>
      <c r="B1811" t="s">
        <v>16</v>
      </c>
      <c r="C1811" t="s">
        <v>4</v>
      </c>
      <c r="D1811" t="s">
        <v>6</v>
      </c>
      <c r="E1811">
        <v>11449</v>
      </c>
    </row>
    <row r="1812" spans="1:5" x14ac:dyDescent="0.25">
      <c r="A1812" t="s">
        <v>456</v>
      </c>
      <c r="B1812" t="s">
        <v>16</v>
      </c>
      <c r="C1812" t="s">
        <v>18</v>
      </c>
      <c r="D1812" t="s">
        <v>6</v>
      </c>
      <c r="E1812">
        <v>373</v>
      </c>
    </row>
    <row r="1813" spans="1:5" x14ac:dyDescent="0.25">
      <c r="A1813" t="s">
        <v>456</v>
      </c>
      <c r="B1813" t="s">
        <v>16</v>
      </c>
      <c r="C1813" t="s">
        <v>5</v>
      </c>
      <c r="D1813" t="s">
        <v>6</v>
      </c>
      <c r="E1813">
        <v>2931</v>
      </c>
    </row>
    <row r="1814" spans="1:5" x14ac:dyDescent="0.25">
      <c r="A1814" t="s">
        <v>456</v>
      </c>
      <c r="B1814" t="s">
        <v>285</v>
      </c>
      <c r="C1814" t="s">
        <v>4</v>
      </c>
      <c r="D1814" t="s">
        <v>6</v>
      </c>
      <c r="E1814">
        <v>3585</v>
      </c>
    </row>
    <row r="1815" spans="1:5" x14ac:dyDescent="0.25">
      <c r="A1815" t="s">
        <v>456</v>
      </c>
      <c r="B1815" t="s">
        <v>285</v>
      </c>
      <c r="C1815" t="s">
        <v>5</v>
      </c>
      <c r="D1815" t="s">
        <v>6</v>
      </c>
      <c r="E1815">
        <v>4</v>
      </c>
    </row>
    <row r="1816" spans="1:5" x14ac:dyDescent="0.25">
      <c r="A1816" t="s">
        <v>456</v>
      </c>
      <c r="B1816" t="s">
        <v>288</v>
      </c>
      <c r="C1816" t="s">
        <v>4</v>
      </c>
      <c r="D1816" t="s">
        <v>6</v>
      </c>
      <c r="E1816">
        <v>11212</v>
      </c>
    </row>
    <row r="1817" spans="1:5" x14ac:dyDescent="0.25">
      <c r="A1817" t="s">
        <v>456</v>
      </c>
      <c r="B1817" t="s">
        <v>288</v>
      </c>
      <c r="C1817" t="s">
        <v>18</v>
      </c>
      <c r="D1817" t="s">
        <v>6</v>
      </c>
      <c r="E1817">
        <v>845</v>
      </c>
    </row>
    <row r="1818" spans="1:5" x14ac:dyDescent="0.25">
      <c r="A1818" t="s">
        <v>456</v>
      </c>
      <c r="B1818" t="s">
        <v>288</v>
      </c>
      <c r="C1818" t="s">
        <v>5</v>
      </c>
      <c r="D1818" t="s">
        <v>6</v>
      </c>
      <c r="E1818">
        <v>2984</v>
      </c>
    </row>
    <row r="1819" spans="1:5" x14ac:dyDescent="0.25">
      <c r="A1819" t="s">
        <v>456</v>
      </c>
      <c r="B1819" t="s">
        <v>16</v>
      </c>
      <c r="C1819" t="s">
        <v>4</v>
      </c>
      <c r="D1819" t="s">
        <v>17</v>
      </c>
      <c r="E1819">
        <v>469</v>
      </c>
    </row>
    <row r="1820" spans="1:5" x14ac:dyDescent="0.25">
      <c r="A1820" t="s">
        <v>456</v>
      </c>
      <c r="B1820" t="s">
        <v>16</v>
      </c>
      <c r="C1820" t="s">
        <v>18</v>
      </c>
      <c r="D1820" t="s">
        <v>17</v>
      </c>
      <c r="E1820">
        <v>7</v>
      </c>
    </row>
    <row r="1821" spans="1:5" x14ac:dyDescent="0.25">
      <c r="A1821" t="s">
        <v>456</v>
      </c>
      <c r="B1821" t="s">
        <v>16</v>
      </c>
      <c r="C1821" t="s">
        <v>5</v>
      </c>
      <c r="D1821" t="s">
        <v>17</v>
      </c>
      <c r="E1821">
        <v>20</v>
      </c>
    </row>
    <row r="1822" spans="1:5" x14ac:dyDescent="0.25">
      <c r="A1822" t="s">
        <v>456</v>
      </c>
      <c r="B1822" t="s">
        <v>285</v>
      </c>
      <c r="C1822" t="s">
        <v>4</v>
      </c>
      <c r="D1822" t="s">
        <v>17</v>
      </c>
      <c r="E1822">
        <v>43</v>
      </c>
    </row>
    <row r="1823" spans="1:5" x14ac:dyDescent="0.25">
      <c r="A1823" t="s">
        <v>456</v>
      </c>
      <c r="B1823" t="s">
        <v>285</v>
      </c>
      <c r="C1823" t="s">
        <v>5</v>
      </c>
      <c r="D1823" t="s">
        <v>17</v>
      </c>
      <c r="E1823">
        <v>21</v>
      </c>
    </row>
    <row r="1824" spans="1:5" x14ac:dyDescent="0.25">
      <c r="A1824" t="s">
        <v>456</v>
      </c>
      <c r="B1824" t="s">
        <v>288</v>
      </c>
      <c r="C1824" t="s">
        <v>4</v>
      </c>
      <c r="D1824" t="s">
        <v>17</v>
      </c>
      <c r="E1824">
        <v>63</v>
      </c>
    </row>
    <row r="1825" spans="1:5" x14ac:dyDescent="0.25">
      <c r="A1825" t="s">
        <v>456</v>
      </c>
      <c r="B1825" t="s">
        <v>288</v>
      </c>
      <c r="C1825" t="s">
        <v>18</v>
      </c>
      <c r="D1825" t="s">
        <v>17</v>
      </c>
      <c r="E1825">
        <v>10</v>
      </c>
    </row>
    <row r="1826" spans="1:5" x14ac:dyDescent="0.25">
      <c r="A1826" t="s">
        <v>456</v>
      </c>
      <c r="B1826" t="s">
        <v>288</v>
      </c>
      <c r="C1826" t="s">
        <v>5</v>
      </c>
      <c r="D1826" t="s">
        <v>17</v>
      </c>
      <c r="E1826">
        <v>32</v>
      </c>
    </row>
    <row r="1827" spans="1:5" x14ac:dyDescent="0.25">
      <c r="A1827" t="s">
        <v>456</v>
      </c>
      <c r="B1827" t="s">
        <v>16</v>
      </c>
      <c r="C1827" t="s">
        <v>4</v>
      </c>
      <c r="D1827" t="s">
        <v>38</v>
      </c>
      <c r="E1827" t="s">
        <v>494</v>
      </c>
    </row>
    <row r="1828" spans="1:5" x14ac:dyDescent="0.25">
      <c r="A1828" t="s">
        <v>456</v>
      </c>
      <c r="B1828" t="s">
        <v>16</v>
      </c>
      <c r="C1828" t="s">
        <v>18</v>
      </c>
      <c r="D1828" t="s">
        <v>38</v>
      </c>
      <c r="E1828" t="s">
        <v>398</v>
      </c>
    </row>
    <row r="1829" spans="1:5" x14ac:dyDescent="0.25">
      <c r="A1829" t="s">
        <v>456</v>
      </c>
      <c r="B1829" t="s">
        <v>16</v>
      </c>
      <c r="C1829" t="s">
        <v>5</v>
      </c>
      <c r="D1829" t="s">
        <v>38</v>
      </c>
      <c r="E1829" t="s">
        <v>495</v>
      </c>
    </row>
    <row r="1830" spans="1:5" x14ac:dyDescent="0.25">
      <c r="A1830" t="s">
        <v>456</v>
      </c>
      <c r="B1830" t="s">
        <v>285</v>
      </c>
      <c r="C1830" t="s">
        <v>4</v>
      </c>
      <c r="D1830" t="s">
        <v>38</v>
      </c>
      <c r="E1830" t="s">
        <v>7</v>
      </c>
    </row>
    <row r="1831" spans="1:5" x14ac:dyDescent="0.25">
      <c r="A1831" t="s">
        <v>456</v>
      </c>
      <c r="B1831" t="s">
        <v>285</v>
      </c>
      <c r="C1831" t="s">
        <v>5</v>
      </c>
      <c r="D1831" t="s">
        <v>38</v>
      </c>
      <c r="E1831" t="s">
        <v>8</v>
      </c>
    </row>
    <row r="1832" spans="1:5" x14ac:dyDescent="0.25">
      <c r="A1832" t="s">
        <v>456</v>
      </c>
      <c r="B1832" t="s">
        <v>288</v>
      </c>
      <c r="C1832" t="s">
        <v>4</v>
      </c>
      <c r="D1832" t="s">
        <v>38</v>
      </c>
      <c r="E1832" t="s">
        <v>496</v>
      </c>
    </row>
    <row r="1833" spans="1:5" x14ac:dyDescent="0.25">
      <c r="A1833" t="s">
        <v>456</v>
      </c>
      <c r="B1833" t="s">
        <v>288</v>
      </c>
      <c r="C1833" t="s">
        <v>18</v>
      </c>
      <c r="D1833" t="s">
        <v>38</v>
      </c>
      <c r="E1833" t="s">
        <v>497</v>
      </c>
    </row>
    <row r="1834" spans="1:5" x14ac:dyDescent="0.25">
      <c r="A1834" t="s">
        <v>456</v>
      </c>
      <c r="B1834" t="s">
        <v>288</v>
      </c>
      <c r="C1834" t="s">
        <v>5</v>
      </c>
      <c r="D1834" t="s">
        <v>38</v>
      </c>
      <c r="E1834" t="s">
        <v>498</v>
      </c>
    </row>
    <row r="1835" spans="1:5" x14ac:dyDescent="0.25">
      <c r="A1835" t="s">
        <v>456</v>
      </c>
      <c r="B1835" t="s">
        <v>16</v>
      </c>
      <c r="C1835" t="s">
        <v>4</v>
      </c>
      <c r="D1835" t="s">
        <v>20</v>
      </c>
      <c r="E1835">
        <v>5935</v>
      </c>
    </row>
    <row r="1836" spans="1:5" x14ac:dyDescent="0.25">
      <c r="A1836" t="s">
        <v>456</v>
      </c>
      <c r="B1836" t="s">
        <v>16</v>
      </c>
      <c r="C1836" t="s">
        <v>18</v>
      </c>
      <c r="D1836" t="s">
        <v>20</v>
      </c>
      <c r="E1836">
        <v>521</v>
      </c>
    </row>
    <row r="1837" spans="1:5" x14ac:dyDescent="0.25">
      <c r="A1837" t="s">
        <v>456</v>
      </c>
      <c r="B1837" t="s">
        <v>16</v>
      </c>
      <c r="C1837" t="s">
        <v>5</v>
      </c>
      <c r="D1837" t="s">
        <v>20</v>
      </c>
      <c r="E1837">
        <v>1879</v>
      </c>
    </row>
    <row r="1838" spans="1:5" x14ac:dyDescent="0.25">
      <c r="A1838" t="s">
        <v>456</v>
      </c>
      <c r="B1838" t="s">
        <v>285</v>
      </c>
      <c r="C1838" t="s">
        <v>4</v>
      </c>
      <c r="D1838" t="s">
        <v>20</v>
      </c>
      <c r="E1838">
        <v>4379</v>
      </c>
    </row>
    <row r="1839" spans="1:5" x14ac:dyDescent="0.25">
      <c r="A1839" t="s">
        <v>456</v>
      </c>
      <c r="B1839" t="s">
        <v>285</v>
      </c>
      <c r="C1839" t="s">
        <v>5</v>
      </c>
      <c r="D1839" t="s">
        <v>20</v>
      </c>
      <c r="E1839">
        <v>3155</v>
      </c>
    </row>
    <row r="1840" spans="1:5" x14ac:dyDescent="0.25">
      <c r="A1840" t="s">
        <v>456</v>
      </c>
      <c r="B1840" t="s">
        <v>288</v>
      </c>
      <c r="C1840" t="s">
        <v>4</v>
      </c>
      <c r="D1840" t="s">
        <v>20</v>
      </c>
      <c r="E1840">
        <v>4334</v>
      </c>
    </row>
    <row r="1841" spans="1:5" x14ac:dyDescent="0.25">
      <c r="A1841" t="s">
        <v>456</v>
      </c>
      <c r="B1841" t="s">
        <v>288</v>
      </c>
      <c r="C1841" t="s">
        <v>18</v>
      </c>
      <c r="D1841" t="s">
        <v>20</v>
      </c>
      <c r="E1841">
        <v>337</v>
      </c>
    </row>
    <row r="1842" spans="1:5" x14ac:dyDescent="0.25">
      <c r="A1842" t="s">
        <v>456</v>
      </c>
      <c r="B1842" t="s">
        <v>288</v>
      </c>
      <c r="C1842" t="s">
        <v>5</v>
      </c>
      <c r="D1842" t="s">
        <v>20</v>
      </c>
      <c r="E1842">
        <v>2332</v>
      </c>
    </row>
    <row r="1843" spans="1:5" x14ac:dyDescent="0.25">
      <c r="A1843" t="s">
        <v>456</v>
      </c>
      <c r="B1843" t="s">
        <v>16</v>
      </c>
      <c r="C1843" t="s">
        <v>4</v>
      </c>
      <c r="D1843" t="s">
        <v>42</v>
      </c>
      <c r="E1843">
        <v>159</v>
      </c>
    </row>
    <row r="1844" spans="1:5" x14ac:dyDescent="0.25">
      <c r="A1844" t="s">
        <v>456</v>
      </c>
      <c r="B1844" t="s">
        <v>285</v>
      </c>
      <c r="C1844" t="s">
        <v>4</v>
      </c>
      <c r="D1844" t="s">
        <v>42</v>
      </c>
      <c r="E1844">
        <v>202</v>
      </c>
    </row>
    <row r="1845" spans="1:5" x14ac:dyDescent="0.25">
      <c r="A1845" t="s">
        <v>456</v>
      </c>
      <c r="B1845" t="s">
        <v>288</v>
      </c>
      <c r="C1845" t="s">
        <v>4</v>
      </c>
      <c r="D1845" t="s">
        <v>42</v>
      </c>
      <c r="E1845">
        <v>265</v>
      </c>
    </row>
    <row r="1846" spans="1:5" x14ac:dyDescent="0.25">
      <c r="A1846" t="s">
        <v>456</v>
      </c>
      <c r="B1846" t="s">
        <v>16</v>
      </c>
      <c r="C1846" t="s">
        <v>4</v>
      </c>
      <c r="D1846" t="s">
        <v>44</v>
      </c>
      <c r="E1846">
        <v>5776</v>
      </c>
    </row>
    <row r="1847" spans="1:5" x14ac:dyDescent="0.25">
      <c r="A1847" t="s">
        <v>456</v>
      </c>
      <c r="B1847" t="s">
        <v>16</v>
      </c>
      <c r="C1847" t="s">
        <v>18</v>
      </c>
      <c r="D1847" t="s">
        <v>44</v>
      </c>
      <c r="E1847">
        <v>521</v>
      </c>
    </row>
    <row r="1848" spans="1:5" x14ac:dyDescent="0.25">
      <c r="A1848" t="s">
        <v>456</v>
      </c>
      <c r="B1848" t="s">
        <v>16</v>
      </c>
      <c r="C1848" t="s">
        <v>5</v>
      </c>
      <c r="D1848" t="s">
        <v>44</v>
      </c>
      <c r="E1848">
        <v>1879</v>
      </c>
    </row>
    <row r="1849" spans="1:5" x14ac:dyDescent="0.25">
      <c r="A1849" t="s">
        <v>456</v>
      </c>
      <c r="B1849" t="s">
        <v>285</v>
      </c>
      <c r="C1849" t="s">
        <v>4</v>
      </c>
      <c r="D1849" t="s">
        <v>44</v>
      </c>
      <c r="E1849">
        <v>4177</v>
      </c>
    </row>
    <row r="1850" spans="1:5" x14ac:dyDescent="0.25">
      <c r="A1850" t="s">
        <v>456</v>
      </c>
      <c r="B1850" t="s">
        <v>285</v>
      </c>
      <c r="C1850" t="s">
        <v>5</v>
      </c>
      <c r="D1850" t="s">
        <v>44</v>
      </c>
      <c r="E1850">
        <v>3155</v>
      </c>
    </row>
    <row r="1851" spans="1:5" x14ac:dyDescent="0.25">
      <c r="A1851" t="s">
        <v>456</v>
      </c>
      <c r="B1851" t="s">
        <v>288</v>
      </c>
      <c r="C1851" t="s">
        <v>4</v>
      </c>
      <c r="D1851" t="s">
        <v>44</v>
      </c>
      <c r="E1851">
        <v>4069</v>
      </c>
    </row>
    <row r="1852" spans="1:5" x14ac:dyDescent="0.25">
      <c r="A1852" t="s">
        <v>456</v>
      </c>
      <c r="B1852" t="s">
        <v>288</v>
      </c>
      <c r="C1852" t="s">
        <v>18</v>
      </c>
      <c r="D1852" t="s">
        <v>44</v>
      </c>
      <c r="E1852">
        <v>337</v>
      </c>
    </row>
    <row r="1853" spans="1:5" x14ac:dyDescent="0.25">
      <c r="A1853" t="s">
        <v>456</v>
      </c>
      <c r="B1853" t="s">
        <v>288</v>
      </c>
      <c r="C1853" t="s">
        <v>5</v>
      </c>
      <c r="D1853" t="s">
        <v>44</v>
      </c>
      <c r="E1853">
        <v>2332</v>
      </c>
    </row>
    <row r="1854" spans="1:5" x14ac:dyDescent="0.25">
      <c r="A1854" t="s">
        <v>456</v>
      </c>
      <c r="B1854" t="s">
        <v>16</v>
      </c>
      <c r="C1854" t="s">
        <v>4</v>
      </c>
      <c r="D1854" t="s">
        <v>21</v>
      </c>
      <c r="E1854">
        <v>0.91680012812299805</v>
      </c>
    </row>
    <row r="1855" spans="1:5" x14ac:dyDescent="0.25">
      <c r="A1855" t="s">
        <v>456</v>
      </c>
      <c r="B1855" t="s">
        <v>16</v>
      </c>
      <c r="C1855" t="s">
        <v>18</v>
      </c>
      <c r="D1855" t="s">
        <v>21</v>
      </c>
      <c r="E1855">
        <v>0.45102781136638453</v>
      </c>
    </row>
    <row r="1856" spans="1:5" x14ac:dyDescent="0.25">
      <c r="A1856" t="s">
        <v>456</v>
      </c>
      <c r="B1856" t="s">
        <v>16</v>
      </c>
      <c r="C1856" t="s">
        <v>5</v>
      </c>
      <c r="D1856" t="s">
        <v>21</v>
      </c>
      <c r="E1856">
        <v>0.95565699380502123</v>
      </c>
    </row>
    <row r="1857" spans="1:5" x14ac:dyDescent="0.25">
      <c r="A1857" t="s">
        <v>456</v>
      </c>
      <c r="B1857" t="s">
        <v>285</v>
      </c>
      <c r="C1857" t="s">
        <v>4</v>
      </c>
      <c r="D1857" t="s">
        <v>21</v>
      </c>
      <c r="E1857">
        <v>0.40208613728129206</v>
      </c>
    </row>
    <row r="1858" spans="1:5" x14ac:dyDescent="0.25">
      <c r="A1858" t="s">
        <v>456</v>
      </c>
      <c r="B1858" t="s">
        <v>285</v>
      </c>
      <c r="C1858" t="s">
        <v>5</v>
      </c>
      <c r="D1858" t="s">
        <v>21</v>
      </c>
      <c r="E1858">
        <v>1.2124886329190664E-3</v>
      </c>
    </row>
    <row r="1859" spans="1:5" x14ac:dyDescent="0.25">
      <c r="A1859" t="s">
        <v>456</v>
      </c>
      <c r="B1859" t="s">
        <v>288</v>
      </c>
      <c r="C1859" t="s">
        <v>4</v>
      </c>
      <c r="D1859" t="s">
        <v>21</v>
      </c>
      <c r="E1859">
        <v>0.89868547611413918</v>
      </c>
    </row>
    <row r="1860" spans="1:5" x14ac:dyDescent="0.25">
      <c r="A1860" t="s">
        <v>456</v>
      </c>
      <c r="B1860" t="s">
        <v>288</v>
      </c>
      <c r="C1860" t="s">
        <v>18</v>
      </c>
      <c r="D1860" t="s">
        <v>21</v>
      </c>
      <c r="E1860">
        <v>0.96681922196796355</v>
      </c>
    </row>
    <row r="1861" spans="1:5" x14ac:dyDescent="0.25">
      <c r="A1861" t="s">
        <v>456</v>
      </c>
      <c r="B1861" t="s">
        <v>288</v>
      </c>
      <c r="C1861" t="s">
        <v>5</v>
      </c>
      <c r="D1861" t="s">
        <v>21</v>
      </c>
      <c r="E1861">
        <v>0.92469786179113733</v>
      </c>
    </row>
    <row r="1862" spans="1:5" x14ac:dyDescent="0.25">
      <c r="A1862" t="s">
        <v>456</v>
      </c>
      <c r="B1862" t="s">
        <v>16</v>
      </c>
      <c r="C1862" t="s">
        <v>4</v>
      </c>
      <c r="D1862" t="s">
        <v>22</v>
      </c>
      <c r="E1862">
        <v>0.10474055092889172</v>
      </c>
    </row>
    <row r="1863" spans="1:5" x14ac:dyDescent="0.25">
      <c r="A1863" t="s">
        <v>456</v>
      </c>
      <c r="B1863" t="s">
        <v>16</v>
      </c>
      <c r="C1863" t="s">
        <v>18</v>
      </c>
      <c r="D1863" t="s">
        <v>22</v>
      </c>
      <c r="E1863">
        <v>0.1293833131801693</v>
      </c>
    </row>
    <row r="1864" spans="1:5" x14ac:dyDescent="0.25">
      <c r="A1864" t="s">
        <v>456</v>
      </c>
      <c r="B1864" t="s">
        <v>16</v>
      </c>
      <c r="C1864" t="s">
        <v>5</v>
      </c>
      <c r="D1864" t="s">
        <v>22</v>
      </c>
      <c r="E1864">
        <v>8.1258191349934464E-2</v>
      </c>
    </row>
    <row r="1865" spans="1:5" x14ac:dyDescent="0.25">
      <c r="A1865" t="s">
        <v>456</v>
      </c>
      <c r="B1865" t="s">
        <v>285</v>
      </c>
      <c r="C1865" t="s">
        <v>4</v>
      </c>
      <c r="D1865" t="s">
        <v>22</v>
      </c>
      <c r="E1865">
        <v>0.14109466128308659</v>
      </c>
    </row>
    <row r="1866" spans="1:5" x14ac:dyDescent="0.25">
      <c r="A1866" t="s">
        <v>456</v>
      </c>
      <c r="B1866" t="s">
        <v>285</v>
      </c>
      <c r="C1866" t="s">
        <v>5</v>
      </c>
      <c r="D1866" t="s">
        <v>22</v>
      </c>
      <c r="E1866">
        <v>1.4852985753258564E-2</v>
      </c>
    </row>
    <row r="1867" spans="1:5" x14ac:dyDescent="0.25">
      <c r="A1867" t="s">
        <v>456</v>
      </c>
      <c r="B1867" t="s">
        <v>288</v>
      </c>
      <c r="C1867" t="s">
        <v>4</v>
      </c>
      <c r="D1867" t="s">
        <v>22</v>
      </c>
      <c r="E1867">
        <v>8.127605001603079E-2</v>
      </c>
    </row>
    <row r="1868" spans="1:5" x14ac:dyDescent="0.25">
      <c r="A1868" t="s">
        <v>456</v>
      </c>
      <c r="B1868" t="s">
        <v>288</v>
      </c>
      <c r="C1868" t="s">
        <v>18</v>
      </c>
      <c r="D1868" t="s">
        <v>22</v>
      </c>
      <c r="E1868">
        <v>5.8352402745995423E-2</v>
      </c>
    </row>
    <row r="1869" spans="1:5" x14ac:dyDescent="0.25">
      <c r="A1869" t="s">
        <v>456</v>
      </c>
      <c r="B1869" t="s">
        <v>288</v>
      </c>
      <c r="C1869" t="s">
        <v>5</v>
      </c>
      <c r="D1869" t="s">
        <v>22</v>
      </c>
      <c r="E1869">
        <v>0.14812519367833901</v>
      </c>
    </row>
    <row r="1870" spans="1:5" x14ac:dyDescent="0.25">
      <c r="A1870" t="s">
        <v>456</v>
      </c>
      <c r="B1870" t="s">
        <v>16</v>
      </c>
      <c r="C1870" t="s">
        <v>4</v>
      </c>
      <c r="D1870" t="s">
        <v>23</v>
      </c>
      <c r="E1870">
        <v>0.19754964766175528</v>
      </c>
    </row>
    <row r="1871" spans="1:5" x14ac:dyDescent="0.25">
      <c r="A1871" t="s">
        <v>456</v>
      </c>
      <c r="B1871" t="s">
        <v>16</v>
      </c>
      <c r="C1871" t="s">
        <v>18</v>
      </c>
      <c r="D1871" t="s">
        <v>23</v>
      </c>
      <c r="E1871">
        <v>0.3555018137847642</v>
      </c>
    </row>
    <row r="1872" spans="1:5" x14ac:dyDescent="0.25">
      <c r="A1872" t="s">
        <v>456</v>
      </c>
      <c r="B1872" t="s">
        <v>16</v>
      </c>
      <c r="C1872" t="s">
        <v>5</v>
      </c>
      <c r="D1872" t="s">
        <v>23</v>
      </c>
      <c r="E1872">
        <v>0.2460681520314548</v>
      </c>
    </row>
    <row r="1873" spans="1:5" x14ac:dyDescent="0.25">
      <c r="A1873" t="s">
        <v>456</v>
      </c>
      <c r="B1873" t="s">
        <v>285</v>
      </c>
      <c r="C1873" t="s">
        <v>4</v>
      </c>
      <c r="D1873" t="s">
        <v>23</v>
      </c>
      <c r="E1873">
        <v>0.42317182593091074</v>
      </c>
    </row>
    <row r="1874" spans="1:5" x14ac:dyDescent="0.25">
      <c r="A1874" t="s">
        <v>456</v>
      </c>
      <c r="B1874" t="s">
        <v>285</v>
      </c>
      <c r="C1874" t="s">
        <v>5</v>
      </c>
      <c r="D1874" t="s">
        <v>23</v>
      </c>
      <c r="E1874">
        <v>8.2146104880266746E-2</v>
      </c>
    </row>
    <row r="1875" spans="1:5" x14ac:dyDescent="0.25">
      <c r="A1875" t="s">
        <v>456</v>
      </c>
      <c r="B1875" t="s">
        <v>288</v>
      </c>
      <c r="C1875" t="s">
        <v>4</v>
      </c>
      <c r="D1875" t="s">
        <v>23</v>
      </c>
      <c r="E1875">
        <v>0.46809874959923053</v>
      </c>
    </row>
    <row r="1876" spans="1:5" x14ac:dyDescent="0.25">
      <c r="A1876" t="s">
        <v>456</v>
      </c>
      <c r="B1876" t="s">
        <v>288</v>
      </c>
      <c r="C1876" t="s">
        <v>18</v>
      </c>
      <c r="D1876" t="s">
        <v>23</v>
      </c>
      <c r="E1876">
        <v>0.36270022883295194</v>
      </c>
    </row>
    <row r="1877" spans="1:5" x14ac:dyDescent="0.25">
      <c r="A1877" t="s">
        <v>456</v>
      </c>
      <c r="B1877" t="s">
        <v>288</v>
      </c>
      <c r="C1877" t="s">
        <v>5</v>
      </c>
      <c r="D1877" t="s">
        <v>23</v>
      </c>
      <c r="E1877">
        <v>0.26278277037496128</v>
      </c>
    </row>
    <row r="1878" spans="1:5" x14ac:dyDescent="0.25">
      <c r="A1878" t="s">
        <v>456</v>
      </c>
      <c r="B1878" t="s">
        <v>16</v>
      </c>
      <c r="C1878" t="s">
        <v>4</v>
      </c>
      <c r="D1878" t="s">
        <v>621</v>
      </c>
      <c r="E1878">
        <v>0.69770980140935301</v>
      </c>
    </row>
    <row r="1879" spans="1:5" x14ac:dyDescent="0.25">
      <c r="A1879" t="s">
        <v>456</v>
      </c>
      <c r="B1879" t="s">
        <v>16</v>
      </c>
      <c r="C1879" t="s">
        <v>18</v>
      </c>
      <c r="D1879" t="s">
        <v>621</v>
      </c>
      <c r="E1879">
        <v>0.51511487303506653</v>
      </c>
    </row>
    <row r="1880" spans="1:5" x14ac:dyDescent="0.25">
      <c r="A1880" t="s">
        <v>456</v>
      </c>
      <c r="B1880" t="s">
        <v>16</v>
      </c>
      <c r="C1880" t="s">
        <v>5</v>
      </c>
      <c r="D1880" t="s">
        <v>621</v>
      </c>
      <c r="E1880">
        <v>0.67267365661861078</v>
      </c>
    </row>
    <row r="1881" spans="1:5" x14ac:dyDescent="0.25">
      <c r="A1881" t="s">
        <v>456</v>
      </c>
      <c r="B1881" t="s">
        <v>285</v>
      </c>
      <c r="C1881" t="s">
        <v>4</v>
      </c>
      <c r="D1881" t="s">
        <v>621</v>
      </c>
      <c r="E1881">
        <v>0.4357335127860027</v>
      </c>
    </row>
    <row r="1882" spans="1:5" x14ac:dyDescent="0.25">
      <c r="A1882" t="s">
        <v>456</v>
      </c>
      <c r="B1882" t="s">
        <v>285</v>
      </c>
      <c r="C1882" t="s">
        <v>5</v>
      </c>
      <c r="D1882" t="s">
        <v>621</v>
      </c>
      <c r="E1882">
        <v>0.90300090936647492</v>
      </c>
    </row>
    <row r="1883" spans="1:5" x14ac:dyDescent="0.25">
      <c r="A1883" t="s">
        <v>456</v>
      </c>
      <c r="B1883" t="s">
        <v>288</v>
      </c>
      <c r="C1883" t="s">
        <v>4</v>
      </c>
      <c r="D1883" t="s">
        <v>621</v>
      </c>
      <c r="E1883">
        <v>0.45062520038473874</v>
      </c>
    </row>
    <row r="1884" spans="1:5" x14ac:dyDescent="0.25">
      <c r="A1884" t="s">
        <v>456</v>
      </c>
      <c r="B1884" t="s">
        <v>288</v>
      </c>
      <c r="C1884" t="s">
        <v>18</v>
      </c>
      <c r="D1884" t="s">
        <v>621</v>
      </c>
      <c r="E1884">
        <v>0.57894736842105265</v>
      </c>
    </row>
    <row r="1885" spans="1:5" x14ac:dyDescent="0.25">
      <c r="A1885" t="s">
        <v>456</v>
      </c>
      <c r="B1885" t="s">
        <v>288</v>
      </c>
      <c r="C1885" t="s">
        <v>5</v>
      </c>
      <c r="D1885" t="s">
        <v>621</v>
      </c>
      <c r="E1885">
        <v>0.58909203594669968</v>
      </c>
    </row>
    <row r="1886" spans="1:5" x14ac:dyDescent="0.25">
      <c r="A1886" t="s">
        <v>456</v>
      </c>
      <c r="B1886" t="s">
        <v>16</v>
      </c>
      <c r="C1886" t="s">
        <v>5</v>
      </c>
      <c r="D1886" t="s">
        <v>256</v>
      </c>
      <c r="E1886" t="s">
        <v>257</v>
      </c>
    </row>
    <row r="1887" spans="1:5" x14ac:dyDescent="0.25">
      <c r="A1887" t="s">
        <v>456</v>
      </c>
      <c r="B1887" t="s">
        <v>16</v>
      </c>
      <c r="C1887" t="s">
        <v>4</v>
      </c>
      <c r="D1887" t="s">
        <v>24</v>
      </c>
      <c r="E1887">
        <v>336.31000000000006</v>
      </c>
    </row>
    <row r="1888" spans="1:5" x14ac:dyDescent="0.25">
      <c r="A1888" t="s">
        <v>456</v>
      </c>
      <c r="B1888" t="s">
        <v>16</v>
      </c>
      <c r="C1888" t="s">
        <v>18</v>
      </c>
      <c r="D1888" t="s">
        <v>24</v>
      </c>
      <c r="E1888">
        <v>79.489999999999995</v>
      </c>
    </row>
    <row r="1889" spans="1:5" x14ac:dyDescent="0.25">
      <c r="A1889" t="s">
        <v>456</v>
      </c>
      <c r="B1889" t="s">
        <v>16</v>
      </c>
      <c r="C1889" t="s">
        <v>5</v>
      </c>
      <c r="D1889" t="s">
        <v>24</v>
      </c>
      <c r="E1889">
        <v>217.50000000000003</v>
      </c>
    </row>
    <row r="1890" spans="1:5" x14ac:dyDescent="0.25">
      <c r="A1890" t="s">
        <v>456</v>
      </c>
      <c r="B1890" t="s">
        <v>288</v>
      </c>
      <c r="C1890" t="s">
        <v>4</v>
      </c>
      <c r="D1890" t="s">
        <v>24</v>
      </c>
      <c r="E1890">
        <v>291.07</v>
      </c>
    </row>
    <row r="1891" spans="1:5" x14ac:dyDescent="0.25">
      <c r="A1891" t="s">
        <v>456</v>
      </c>
      <c r="B1891" t="s">
        <v>288</v>
      </c>
      <c r="C1891" t="s">
        <v>5</v>
      </c>
      <c r="D1891" t="s">
        <v>24</v>
      </c>
      <c r="E1891">
        <v>109.78</v>
      </c>
    </row>
    <row r="1892" spans="1:5" x14ac:dyDescent="0.25">
      <c r="A1892" t="s">
        <v>456</v>
      </c>
      <c r="B1892" t="s">
        <v>16</v>
      </c>
      <c r="C1892" t="s">
        <v>19</v>
      </c>
      <c r="D1892" t="s">
        <v>45</v>
      </c>
      <c r="E1892">
        <v>2111773</v>
      </c>
    </row>
    <row r="1893" spans="1:5" x14ac:dyDescent="0.25">
      <c r="A1893" t="s">
        <v>456</v>
      </c>
      <c r="B1893" t="s">
        <v>285</v>
      </c>
      <c r="C1893" t="s">
        <v>19</v>
      </c>
      <c r="D1893" t="s">
        <v>45</v>
      </c>
      <c r="E1893">
        <v>1952442</v>
      </c>
    </row>
    <row r="1894" spans="1:5" x14ac:dyDescent="0.25">
      <c r="A1894" t="s">
        <v>456</v>
      </c>
      <c r="B1894" t="s">
        <v>288</v>
      </c>
      <c r="C1894" t="s">
        <v>19</v>
      </c>
      <c r="D1894" t="s">
        <v>45</v>
      </c>
      <c r="E1894">
        <v>1890410</v>
      </c>
    </row>
    <row r="1895" spans="1:5" x14ac:dyDescent="0.25">
      <c r="A1895" t="s">
        <v>456</v>
      </c>
      <c r="B1895" t="s">
        <v>16</v>
      </c>
      <c r="C1895" t="s">
        <v>19</v>
      </c>
      <c r="D1895" t="s">
        <v>46</v>
      </c>
      <c r="E1895">
        <v>38408</v>
      </c>
    </row>
    <row r="1896" spans="1:5" x14ac:dyDescent="0.25">
      <c r="A1896" t="s">
        <v>456</v>
      </c>
      <c r="B1896" t="s">
        <v>285</v>
      </c>
      <c r="C1896" t="s">
        <v>19</v>
      </c>
      <c r="D1896" t="s">
        <v>46</v>
      </c>
      <c r="E1896">
        <v>35010</v>
      </c>
    </row>
    <row r="1897" spans="1:5" x14ac:dyDescent="0.25">
      <c r="A1897" t="s">
        <v>456</v>
      </c>
      <c r="B1897" t="s">
        <v>288</v>
      </c>
      <c r="C1897" t="s">
        <v>19</v>
      </c>
      <c r="D1897" t="s">
        <v>46</v>
      </c>
      <c r="E1897">
        <v>35764</v>
      </c>
    </row>
    <row r="1898" spans="1:5" x14ac:dyDescent="0.25">
      <c r="A1898" t="s">
        <v>499</v>
      </c>
      <c r="B1898" t="s">
        <v>16</v>
      </c>
      <c r="C1898" t="s">
        <v>5</v>
      </c>
      <c r="D1898" t="s">
        <v>226</v>
      </c>
      <c r="E1898">
        <v>283.16666666666669</v>
      </c>
    </row>
    <row r="1899" spans="1:5" x14ac:dyDescent="0.25">
      <c r="A1899" t="s">
        <v>499</v>
      </c>
      <c r="B1899" t="s">
        <v>285</v>
      </c>
      <c r="C1899" t="s">
        <v>5</v>
      </c>
      <c r="D1899" t="s">
        <v>226</v>
      </c>
      <c r="E1899">
        <v>125054.83333333331</v>
      </c>
    </row>
    <row r="1900" spans="1:5" x14ac:dyDescent="0.25">
      <c r="A1900" t="s">
        <v>499</v>
      </c>
      <c r="B1900" t="s">
        <v>288</v>
      </c>
      <c r="C1900" t="s">
        <v>4</v>
      </c>
      <c r="D1900" t="s">
        <v>226</v>
      </c>
      <c r="E1900">
        <v>8341.6190476190477</v>
      </c>
    </row>
    <row r="1901" spans="1:5" x14ac:dyDescent="0.25">
      <c r="A1901" t="s">
        <v>499</v>
      </c>
      <c r="B1901" t="s">
        <v>288</v>
      </c>
      <c r="C1901" t="s">
        <v>5</v>
      </c>
      <c r="D1901" t="s">
        <v>226</v>
      </c>
      <c r="E1901">
        <v>1201.5</v>
      </c>
    </row>
    <row r="1902" spans="1:5" x14ac:dyDescent="0.25">
      <c r="A1902" t="s">
        <v>499</v>
      </c>
      <c r="B1902" t="s">
        <v>16</v>
      </c>
      <c r="C1902" t="s">
        <v>4</v>
      </c>
      <c r="D1902" t="s">
        <v>48</v>
      </c>
      <c r="E1902">
        <v>92423.805844155868</v>
      </c>
    </row>
    <row r="1903" spans="1:5" x14ac:dyDescent="0.25">
      <c r="A1903" t="s">
        <v>499</v>
      </c>
      <c r="B1903" t="s">
        <v>16</v>
      </c>
      <c r="C1903" t="s">
        <v>5</v>
      </c>
      <c r="D1903" t="s">
        <v>48</v>
      </c>
      <c r="E1903">
        <v>34451.235353535354</v>
      </c>
    </row>
    <row r="1904" spans="1:5" x14ac:dyDescent="0.25">
      <c r="A1904" t="s">
        <v>499</v>
      </c>
      <c r="B1904" t="s">
        <v>285</v>
      </c>
      <c r="C1904" t="s">
        <v>4</v>
      </c>
      <c r="D1904" t="s">
        <v>48</v>
      </c>
      <c r="E1904">
        <v>115035.43614718626</v>
      </c>
    </row>
    <row r="1905" spans="1:5" x14ac:dyDescent="0.25">
      <c r="A1905" t="s">
        <v>499</v>
      </c>
      <c r="B1905" t="s">
        <v>285</v>
      </c>
      <c r="C1905" t="s">
        <v>18</v>
      </c>
      <c r="D1905" t="s">
        <v>48</v>
      </c>
      <c r="E1905">
        <v>9329.8502886002934</v>
      </c>
    </row>
    <row r="1906" spans="1:5" x14ac:dyDescent="0.25">
      <c r="A1906" t="s">
        <v>499</v>
      </c>
      <c r="B1906" t="s">
        <v>285</v>
      </c>
      <c r="C1906" t="s">
        <v>5</v>
      </c>
      <c r="D1906" t="s">
        <v>48</v>
      </c>
      <c r="E1906">
        <v>65810.734415584448</v>
      </c>
    </row>
    <row r="1907" spans="1:5" x14ac:dyDescent="0.25">
      <c r="A1907" t="s">
        <v>499</v>
      </c>
      <c r="B1907" t="s">
        <v>288</v>
      </c>
      <c r="C1907" t="s">
        <v>4</v>
      </c>
      <c r="D1907" t="s">
        <v>48</v>
      </c>
      <c r="E1907">
        <v>67206.311471861438</v>
      </c>
    </row>
    <row r="1908" spans="1:5" x14ac:dyDescent="0.25">
      <c r="A1908" t="s">
        <v>499</v>
      </c>
      <c r="B1908" t="s">
        <v>288</v>
      </c>
      <c r="C1908" t="s">
        <v>18</v>
      </c>
      <c r="D1908" t="s">
        <v>48</v>
      </c>
      <c r="E1908">
        <v>5863.1701298701291</v>
      </c>
    </row>
    <row r="1909" spans="1:5" x14ac:dyDescent="0.25">
      <c r="A1909" t="s">
        <v>499</v>
      </c>
      <c r="B1909" t="s">
        <v>288</v>
      </c>
      <c r="C1909" t="s">
        <v>5</v>
      </c>
      <c r="D1909" t="s">
        <v>48</v>
      </c>
      <c r="E1909">
        <v>287.68181818181819</v>
      </c>
    </row>
    <row r="1910" spans="1:5" x14ac:dyDescent="0.25">
      <c r="A1910" t="s">
        <v>499</v>
      </c>
      <c r="B1910" t="s">
        <v>16</v>
      </c>
      <c r="C1910" t="s">
        <v>4</v>
      </c>
      <c r="D1910" t="s">
        <v>227</v>
      </c>
      <c r="E1910">
        <v>80159.826623376634</v>
      </c>
    </row>
    <row r="1911" spans="1:5" x14ac:dyDescent="0.25">
      <c r="A1911" t="s">
        <v>499</v>
      </c>
      <c r="B1911" t="s">
        <v>16</v>
      </c>
      <c r="C1911" t="s">
        <v>18</v>
      </c>
      <c r="D1911" t="s">
        <v>227</v>
      </c>
      <c r="E1911">
        <v>14700.784992784997</v>
      </c>
    </row>
    <row r="1912" spans="1:5" x14ac:dyDescent="0.25">
      <c r="A1912" t="s">
        <v>499</v>
      </c>
      <c r="B1912" t="s">
        <v>16</v>
      </c>
      <c r="C1912" t="s">
        <v>5</v>
      </c>
      <c r="D1912" t="s">
        <v>227</v>
      </c>
      <c r="E1912">
        <v>38370.567640692607</v>
      </c>
    </row>
    <row r="1913" spans="1:5" x14ac:dyDescent="0.25">
      <c r="A1913" t="s">
        <v>499</v>
      </c>
      <c r="B1913" t="s">
        <v>285</v>
      </c>
      <c r="C1913" t="s">
        <v>4</v>
      </c>
      <c r="D1913" t="s">
        <v>227</v>
      </c>
      <c r="E1913">
        <v>102340.3716089466</v>
      </c>
    </row>
    <row r="1914" spans="1:5" x14ac:dyDescent="0.25">
      <c r="A1914" t="s">
        <v>499</v>
      </c>
      <c r="B1914" t="s">
        <v>285</v>
      </c>
      <c r="C1914" t="s">
        <v>18</v>
      </c>
      <c r="D1914" t="s">
        <v>227</v>
      </c>
      <c r="E1914">
        <v>8569.35</v>
      </c>
    </row>
    <row r="1915" spans="1:5" x14ac:dyDescent="0.25">
      <c r="A1915" t="s">
        <v>499</v>
      </c>
      <c r="B1915" t="s">
        <v>285</v>
      </c>
      <c r="C1915" t="s">
        <v>5</v>
      </c>
      <c r="D1915" t="s">
        <v>227</v>
      </c>
      <c r="E1915">
        <v>55868.067279942312</v>
      </c>
    </row>
    <row r="1916" spans="1:5" x14ac:dyDescent="0.25">
      <c r="A1916" t="s">
        <v>499</v>
      </c>
      <c r="B1916" t="s">
        <v>288</v>
      </c>
      <c r="C1916" t="s">
        <v>4</v>
      </c>
      <c r="D1916" t="s">
        <v>227</v>
      </c>
      <c r="E1916">
        <v>103009.16280663804</v>
      </c>
    </row>
    <row r="1917" spans="1:5" x14ac:dyDescent="0.25">
      <c r="A1917" t="s">
        <v>499</v>
      </c>
      <c r="B1917" t="s">
        <v>288</v>
      </c>
      <c r="C1917" t="s">
        <v>18</v>
      </c>
      <c r="D1917" t="s">
        <v>227</v>
      </c>
      <c r="E1917">
        <v>13801.10476190476</v>
      </c>
    </row>
    <row r="1918" spans="1:5" x14ac:dyDescent="0.25">
      <c r="A1918" t="s">
        <v>499</v>
      </c>
      <c r="B1918" t="s">
        <v>288</v>
      </c>
      <c r="C1918" t="s">
        <v>5</v>
      </c>
      <c r="D1918" t="s">
        <v>227</v>
      </c>
      <c r="E1918">
        <v>89848.957792207657</v>
      </c>
    </row>
    <row r="1919" spans="1:5" x14ac:dyDescent="0.25">
      <c r="A1919" t="s">
        <v>499</v>
      </c>
      <c r="B1919" t="s">
        <v>285</v>
      </c>
      <c r="C1919" t="s">
        <v>4</v>
      </c>
      <c r="D1919" t="s">
        <v>290</v>
      </c>
      <c r="E1919">
        <v>33761.136111111111</v>
      </c>
    </row>
    <row r="1920" spans="1:5" x14ac:dyDescent="0.25">
      <c r="A1920" t="s">
        <v>499</v>
      </c>
      <c r="B1920" t="s">
        <v>288</v>
      </c>
      <c r="C1920" t="s">
        <v>4</v>
      </c>
      <c r="D1920" t="s">
        <v>290</v>
      </c>
      <c r="E1920">
        <v>88026.863383838354</v>
      </c>
    </row>
    <row r="1921" spans="1:5" x14ac:dyDescent="0.25">
      <c r="A1921" t="s">
        <v>499</v>
      </c>
      <c r="B1921" t="s">
        <v>288</v>
      </c>
      <c r="C1921" t="s">
        <v>18</v>
      </c>
      <c r="D1921" t="s">
        <v>290</v>
      </c>
      <c r="E1921">
        <v>11481.590909090906</v>
      </c>
    </row>
    <row r="1922" spans="1:5" x14ac:dyDescent="0.25">
      <c r="A1922" t="s">
        <v>499</v>
      </c>
      <c r="B1922" t="s">
        <v>288</v>
      </c>
      <c r="C1922" t="s">
        <v>5</v>
      </c>
      <c r="D1922" t="s">
        <v>290</v>
      </c>
      <c r="E1922">
        <v>116225.09632034626</v>
      </c>
    </row>
    <row r="1923" spans="1:5" x14ac:dyDescent="0.25">
      <c r="A1923" t="s">
        <v>499</v>
      </c>
      <c r="B1923" t="s">
        <v>16</v>
      </c>
      <c r="C1923" t="s">
        <v>4</v>
      </c>
      <c r="D1923" t="s">
        <v>49</v>
      </c>
      <c r="E1923">
        <v>152719.97987012993</v>
      </c>
    </row>
    <row r="1924" spans="1:5" x14ac:dyDescent="0.25">
      <c r="A1924" t="s">
        <v>499</v>
      </c>
      <c r="B1924" t="s">
        <v>16</v>
      </c>
      <c r="C1924" t="s">
        <v>18</v>
      </c>
      <c r="D1924" t="s">
        <v>49</v>
      </c>
      <c r="E1924">
        <v>14175.522222222227</v>
      </c>
    </row>
    <row r="1925" spans="1:5" x14ac:dyDescent="0.25">
      <c r="A1925" t="s">
        <v>499</v>
      </c>
      <c r="B1925" t="s">
        <v>16</v>
      </c>
      <c r="C1925" t="s">
        <v>5</v>
      </c>
      <c r="D1925" t="s">
        <v>49</v>
      </c>
      <c r="E1925">
        <v>84717.095959595899</v>
      </c>
    </row>
    <row r="1926" spans="1:5" x14ac:dyDescent="0.25">
      <c r="A1926" t="s">
        <v>499</v>
      </c>
      <c r="B1926" t="s">
        <v>285</v>
      </c>
      <c r="C1926" t="s">
        <v>4</v>
      </c>
      <c r="D1926" t="s">
        <v>49</v>
      </c>
      <c r="E1926">
        <v>118578.38120490601</v>
      </c>
    </row>
    <row r="1927" spans="1:5" x14ac:dyDescent="0.25">
      <c r="A1927" t="s">
        <v>499</v>
      </c>
      <c r="B1927" t="s">
        <v>285</v>
      </c>
      <c r="C1927" t="s">
        <v>18</v>
      </c>
      <c r="D1927" t="s">
        <v>49</v>
      </c>
      <c r="E1927">
        <v>14224.585497835496</v>
      </c>
    </row>
    <row r="1928" spans="1:5" x14ac:dyDescent="0.25">
      <c r="A1928" t="s">
        <v>499</v>
      </c>
      <c r="B1928" t="s">
        <v>285</v>
      </c>
      <c r="C1928" t="s">
        <v>5</v>
      </c>
      <c r="D1928" t="s">
        <v>49</v>
      </c>
      <c r="E1928">
        <v>109014.82889610392</v>
      </c>
    </row>
    <row r="1929" spans="1:5" x14ac:dyDescent="0.25">
      <c r="A1929" t="s">
        <v>499</v>
      </c>
      <c r="B1929" t="s">
        <v>288</v>
      </c>
      <c r="C1929" t="s">
        <v>4</v>
      </c>
      <c r="D1929" t="s">
        <v>49</v>
      </c>
      <c r="E1929">
        <v>171230.76800144301</v>
      </c>
    </row>
    <row r="1930" spans="1:5" x14ac:dyDescent="0.25">
      <c r="A1930" t="s">
        <v>499</v>
      </c>
      <c r="B1930" t="s">
        <v>288</v>
      </c>
      <c r="C1930" t="s">
        <v>18</v>
      </c>
      <c r="D1930" t="s">
        <v>49</v>
      </c>
      <c r="E1930">
        <v>13219.166666666666</v>
      </c>
    </row>
    <row r="1931" spans="1:5" x14ac:dyDescent="0.25">
      <c r="A1931" t="s">
        <v>499</v>
      </c>
      <c r="B1931" t="s">
        <v>288</v>
      </c>
      <c r="C1931" t="s">
        <v>5</v>
      </c>
      <c r="D1931" t="s">
        <v>49</v>
      </c>
      <c r="E1931">
        <v>62138.927272727269</v>
      </c>
    </row>
    <row r="1932" spans="1:5" x14ac:dyDescent="0.25">
      <c r="A1932" t="s">
        <v>499</v>
      </c>
      <c r="B1932" t="s">
        <v>16</v>
      </c>
      <c r="C1932" t="s">
        <v>4</v>
      </c>
      <c r="D1932" t="s">
        <v>228</v>
      </c>
      <c r="E1932">
        <v>94237.480339105285</v>
      </c>
    </row>
    <row r="1933" spans="1:5" x14ac:dyDescent="0.25">
      <c r="A1933" t="s">
        <v>499</v>
      </c>
      <c r="B1933" t="s">
        <v>285</v>
      </c>
      <c r="C1933" t="s">
        <v>4</v>
      </c>
      <c r="D1933" t="s">
        <v>228</v>
      </c>
      <c r="E1933">
        <v>91117.559018759071</v>
      </c>
    </row>
    <row r="1934" spans="1:5" x14ac:dyDescent="0.25">
      <c r="A1934" t="s">
        <v>499</v>
      </c>
      <c r="B1934" t="s">
        <v>285</v>
      </c>
      <c r="C1934" t="s">
        <v>18</v>
      </c>
      <c r="D1934" t="s">
        <v>228</v>
      </c>
      <c r="E1934">
        <v>8637.4204545454504</v>
      </c>
    </row>
    <row r="1935" spans="1:5" x14ac:dyDescent="0.25">
      <c r="A1935" t="s">
        <v>499</v>
      </c>
      <c r="B1935" t="s">
        <v>285</v>
      </c>
      <c r="C1935" t="s">
        <v>5</v>
      </c>
      <c r="D1935" t="s">
        <v>228</v>
      </c>
      <c r="E1935">
        <v>24888.277272727275</v>
      </c>
    </row>
    <row r="1936" spans="1:5" x14ac:dyDescent="0.25">
      <c r="A1936" t="s">
        <v>499</v>
      </c>
      <c r="B1936" t="s">
        <v>288</v>
      </c>
      <c r="C1936" t="s">
        <v>4</v>
      </c>
      <c r="D1936" t="s">
        <v>228</v>
      </c>
      <c r="E1936">
        <v>16342.574242424243</v>
      </c>
    </row>
    <row r="1937" spans="1:5" x14ac:dyDescent="0.25">
      <c r="A1937" t="s">
        <v>499</v>
      </c>
      <c r="B1937" t="s">
        <v>288</v>
      </c>
      <c r="C1937" t="s">
        <v>18</v>
      </c>
      <c r="D1937" t="s">
        <v>228</v>
      </c>
      <c r="E1937">
        <v>7668.8257575757598</v>
      </c>
    </row>
    <row r="1938" spans="1:5" x14ac:dyDescent="0.25">
      <c r="A1938" t="s">
        <v>499</v>
      </c>
      <c r="B1938" t="s">
        <v>288</v>
      </c>
      <c r="C1938" t="s">
        <v>5</v>
      </c>
      <c r="D1938" t="s">
        <v>228</v>
      </c>
      <c r="E1938">
        <v>16858.557575757579</v>
      </c>
    </row>
    <row r="1939" spans="1:5" x14ac:dyDescent="0.25">
      <c r="A1939" t="s">
        <v>499</v>
      </c>
      <c r="B1939" t="s">
        <v>16</v>
      </c>
      <c r="C1939" t="s">
        <v>4</v>
      </c>
      <c r="D1939" t="s">
        <v>229</v>
      </c>
      <c r="E1939">
        <v>130751.54808802312</v>
      </c>
    </row>
    <row r="1940" spans="1:5" x14ac:dyDescent="0.25">
      <c r="A1940" t="s">
        <v>499</v>
      </c>
      <c r="B1940" t="s">
        <v>16</v>
      </c>
      <c r="C1940" t="s">
        <v>18</v>
      </c>
      <c r="D1940" t="s">
        <v>229</v>
      </c>
      <c r="E1940">
        <v>11298.49588744589</v>
      </c>
    </row>
    <row r="1941" spans="1:5" x14ac:dyDescent="0.25">
      <c r="A1941" t="s">
        <v>499</v>
      </c>
      <c r="B1941" t="s">
        <v>16</v>
      </c>
      <c r="C1941" t="s">
        <v>5</v>
      </c>
      <c r="D1941" t="s">
        <v>229</v>
      </c>
      <c r="E1941">
        <v>70175.140151515137</v>
      </c>
    </row>
    <row r="1942" spans="1:5" x14ac:dyDescent="0.25">
      <c r="A1942" t="s">
        <v>499</v>
      </c>
      <c r="B1942" t="s">
        <v>285</v>
      </c>
      <c r="C1942" t="s">
        <v>4</v>
      </c>
      <c r="D1942" t="s">
        <v>229</v>
      </c>
      <c r="E1942">
        <v>105800.44826839834</v>
      </c>
    </row>
    <row r="1943" spans="1:5" x14ac:dyDescent="0.25">
      <c r="A1943" t="s">
        <v>499</v>
      </c>
      <c r="B1943" t="s">
        <v>285</v>
      </c>
      <c r="C1943" t="s">
        <v>18</v>
      </c>
      <c r="D1943" t="s">
        <v>229</v>
      </c>
      <c r="E1943">
        <v>14749.674747474754</v>
      </c>
    </row>
    <row r="1944" spans="1:5" x14ac:dyDescent="0.25">
      <c r="A1944" t="s">
        <v>499</v>
      </c>
      <c r="B1944" t="s">
        <v>285</v>
      </c>
      <c r="C1944" t="s">
        <v>5</v>
      </c>
      <c r="D1944" t="s">
        <v>229</v>
      </c>
      <c r="E1944">
        <v>120830.36580086577</v>
      </c>
    </row>
    <row r="1945" spans="1:5" x14ac:dyDescent="0.25">
      <c r="A1945" t="s">
        <v>499</v>
      </c>
      <c r="B1945" t="s">
        <v>288</v>
      </c>
      <c r="C1945" t="s">
        <v>4</v>
      </c>
      <c r="D1945" t="s">
        <v>229</v>
      </c>
      <c r="E1945">
        <v>112094.94606782107</v>
      </c>
    </row>
    <row r="1946" spans="1:5" x14ac:dyDescent="0.25">
      <c r="A1946" t="s">
        <v>499</v>
      </c>
      <c r="B1946" t="s">
        <v>288</v>
      </c>
      <c r="C1946" t="s">
        <v>18</v>
      </c>
      <c r="D1946" t="s">
        <v>229</v>
      </c>
      <c r="E1946">
        <v>1744.6666666666667</v>
      </c>
    </row>
    <row r="1947" spans="1:5" x14ac:dyDescent="0.25">
      <c r="A1947" t="s">
        <v>499</v>
      </c>
      <c r="B1947" t="s">
        <v>288</v>
      </c>
      <c r="C1947" t="s">
        <v>5</v>
      </c>
      <c r="D1947" t="s">
        <v>229</v>
      </c>
      <c r="E1947">
        <v>82934.700216450394</v>
      </c>
    </row>
    <row r="1948" spans="1:5" x14ac:dyDescent="0.25">
      <c r="A1948" t="s">
        <v>499</v>
      </c>
      <c r="B1948" t="s">
        <v>288</v>
      </c>
      <c r="C1948" t="s">
        <v>5</v>
      </c>
      <c r="D1948" t="s">
        <v>506</v>
      </c>
      <c r="E1948">
        <v>98</v>
      </c>
    </row>
    <row r="1949" spans="1:5" x14ac:dyDescent="0.25">
      <c r="A1949" t="s">
        <v>499</v>
      </c>
      <c r="B1949" t="s">
        <v>16</v>
      </c>
      <c r="C1949" t="s">
        <v>18</v>
      </c>
      <c r="D1949" t="s">
        <v>50</v>
      </c>
      <c r="E1949">
        <v>12789.264069264078</v>
      </c>
    </row>
    <row r="1950" spans="1:5" x14ac:dyDescent="0.25">
      <c r="A1950" t="s">
        <v>499</v>
      </c>
      <c r="B1950" t="s">
        <v>16</v>
      </c>
      <c r="C1950" t="s">
        <v>5</v>
      </c>
      <c r="D1950" t="s">
        <v>50</v>
      </c>
      <c r="E1950">
        <v>36833.800721500775</v>
      </c>
    </row>
    <row r="1951" spans="1:5" x14ac:dyDescent="0.25">
      <c r="A1951" t="s">
        <v>499</v>
      </c>
      <c r="B1951" t="s">
        <v>285</v>
      </c>
      <c r="C1951" t="s">
        <v>4</v>
      </c>
      <c r="D1951" t="s">
        <v>50</v>
      </c>
      <c r="E1951">
        <v>2649.7196969696975</v>
      </c>
    </row>
    <row r="1952" spans="1:5" x14ac:dyDescent="0.25">
      <c r="A1952" t="s">
        <v>499</v>
      </c>
      <c r="B1952" t="s">
        <v>285</v>
      </c>
      <c r="C1952" t="s">
        <v>18</v>
      </c>
      <c r="D1952" t="s">
        <v>50</v>
      </c>
      <c r="E1952">
        <v>131</v>
      </c>
    </row>
    <row r="1953" spans="1:5" x14ac:dyDescent="0.25">
      <c r="A1953" t="s">
        <v>499</v>
      </c>
      <c r="B1953" t="s">
        <v>16</v>
      </c>
      <c r="C1953" t="s">
        <v>18</v>
      </c>
      <c r="D1953" t="s">
        <v>59</v>
      </c>
      <c r="E1953" t="s">
        <v>515</v>
      </c>
    </row>
    <row r="1954" spans="1:5" x14ac:dyDescent="0.25">
      <c r="A1954" t="s">
        <v>499</v>
      </c>
      <c r="B1954" t="s">
        <v>16</v>
      </c>
      <c r="C1954" t="s">
        <v>4</v>
      </c>
      <c r="D1954" t="s">
        <v>59</v>
      </c>
      <c r="E1954" t="s">
        <v>519</v>
      </c>
    </row>
    <row r="1955" spans="1:5" x14ac:dyDescent="0.25">
      <c r="A1955" t="s">
        <v>499</v>
      </c>
      <c r="B1955" t="s">
        <v>16</v>
      </c>
      <c r="C1955" t="s">
        <v>5</v>
      </c>
      <c r="D1955" t="s">
        <v>59</v>
      </c>
      <c r="E1955" t="s">
        <v>524</v>
      </c>
    </row>
    <row r="1956" spans="1:5" x14ac:dyDescent="0.25">
      <c r="A1956" t="s">
        <v>499</v>
      </c>
      <c r="B1956" t="s">
        <v>288</v>
      </c>
      <c r="C1956" t="s">
        <v>18</v>
      </c>
      <c r="D1956" t="s">
        <v>59</v>
      </c>
      <c r="E1956" t="s">
        <v>529</v>
      </c>
    </row>
    <row r="1957" spans="1:5" x14ac:dyDescent="0.25">
      <c r="A1957" t="s">
        <v>499</v>
      </c>
      <c r="B1957" t="s">
        <v>288</v>
      </c>
      <c r="C1957" t="s">
        <v>4</v>
      </c>
      <c r="D1957" t="s">
        <v>59</v>
      </c>
      <c r="E1957" t="s">
        <v>533</v>
      </c>
    </row>
    <row r="1958" spans="1:5" x14ac:dyDescent="0.25">
      <c r="A1958" t="s">
        <v>499</v>
      </c>
      <c r="B1958" t="s">
        <v>288</v>
      </c>
      <c r="C1958" t="s">
        <v>5</v>
      </c>
      <c r="D1958" t="s">
        <v>59</v>
      </c>
      <c r="E1958" t="s">
        <v>538</v>
      </c>
    </row>
    <row r="1959" spans="1:5" x14ac:dyDescent="0.25">
      <c r="A1959" t="s">
        <v>499</v>
      </c>
      <c r="B1959" t="s">
        <v>285</v>
      </c>
      <c r="C1959" t="s">
        <v>18</v>
      </c>
      <c r="D1959" t="s">
        <v>59</v>
      </c>
      <c r="E1959" t="s">
        <v>543</v>
      </c>
    </row>
    <row r="1960" spans="1:5" x14ac:dyDescent="0.25">
      <c r="A1960" t="s">
        <v>499</v>
      </c>
      <c r="B1960" t="s">
        <v>285</v>
      </c>
      <c r="C1960" t="s">
        <v>4</v>
      </c>
      <c r="D1960" t="s">
        <v>59</v>
      </c>
      <c r="E1960" t="s">
        <v>547</v>
      </c>
    </row>
    <row r="1961" spans="1:5" x14ac:dyDescent="0.25">
      <c r="A1961" t="s">
        <v>499</v>
      </c>
      <c r="B1961" t="s">
        <v>285</v>
      </c>
      <c r="C1961" t="s">
        <v>5</v>
      </c>
      <c r="D1961" t="s">
        <v>59</v>
      </c>
      <c r="E1961" t="s">
        <v>552</v>
      </c>
    </row>
    <row r="1962" spans="1:5" x14ac:dyDescent="0.25">
      <c r="A1962" t="s">
        <v>499</v>
      </c>
      <c r="B1962" t="s">
        <v>16</v>
      </c>
      <c r="C1962" t="s">
        <v>18</v>
      </c>
      <c r="D1962" t="s">
        <v>63</v>
      </c>
      <c r="E1962" t="s">
        <v>516</v>
      </c>
    </row>
    <row r="1963" spans="1:5" x14ac:dyDescent="0.25">
      <c r="A1963" t="s">
        <v>499</v>
      </c>
      <c r="B1963" t="s">
        <v>16</v>
      </c>
      <c r="C1963" t="s">
        <v>4</v>
      </c>
      <c r="D1963" t="s">
        <v>63</v>
      </c>
      <c r="E1963" t="s">
        <v>520</v>
      </c>
    </row>
    <row r="1964" spans="1:5" x14ac:dyDescent="0.25">
      <c r="A1964" t="s">
        <v>499</v>
      </c>
      <c r="B1964" t="s">
        <v>16</v>
      </c>
      <c r="C1964" t="s">
        <v>5</v>
      </c>
      <c r="D1964" t="s">
        <v>63</v>
      </c>
      <c r="E1964" t="s">
        <v>525</v>
      </c>
    </row>
    <row r="1965" spans="1:5" x14ac:dyDescent="0.25">
      <c r="A1965" t="s">
        <v>499</v>
      </c>
      <c r="B1965" t="s">
        <v>288</v>
      </c>
      <c r="C1965" t="s">
        <v>18</v>
      </c>
      <c r="D1965" t="s">
        <v>63</v>
      </c>
      <c r="E1965" t="s">
        <v>530</v>
      </c>
    </row>
    <row r="1966" spans="1:5" x14ac:dyDescent="0.25">
      <c r="A1966" t="s">
        <v>499</v>
      </c>
      <c r="B1966" t="s">
        <v>288</v>
      </c>
      <c r="C1966" t="s">
        <v>4</v>
      </c>
      <c r="D1966" t="s">
        <v>63</v>
      </c>
      <c r="E1966" t="s">
        <v>534</v>
      </c>
    </row>
    <row r="1967" spans="1:5" x14ac:dyDescent="0.25">
      <c r="A1967" t="s">
        <v>499</v>
      </c>
      <c r="B1967" t="s">
        <v>288</v>
      </c>
      <c r="C1967" t="s">
        <v>5</v>
      </c>
      <c r="D1967" t="s">
        <v>63</v>
      </c>
      <c r="E1967" t="s">
        <v>539</v>
      </c>
    </row>
    <row r="1968" spans="1:5" x14ac:dyDescent="0.25">
      <c r="A1968" t="s">
        <v>499</v>
      </c>
      <c r="B1968" t="s">
        <v>285</v>
      </c>
      <c r="C1968" t="s">
        <v>18</v>
      </c>
      <c r="D1968" t="s">
        <v>63</v>
      </c>
      <c r="E1968" t="s">
        <v>544</v>
      </c>
    </row>
    <row r="1969" spans="1:5" x14ac:dyDescent="0.25">
      <c r="A1969" t="s">
        <v>499</v>
      </c>
      <c r="B1969" t="s">
        <v>285</v>
      </c>
      <c r="C1969" t="s">
        <v>4</v>
      </c>
      <c r="D1969" t="s">
        <v>63</v>
      </c>
      <c r="E1969" t="s">
        <v>548</v>
      </c>
    </row>
    <row r="1970" spans="1:5" x14ac:dyDescent="0.25">
      <c r="A1970" t="s">
        <v>499</v>
      </c>
      <c r="B1970" t="s">
        <v>285</v>
      </c>
      <c r="C1970" t="s">
        <v>5</v>
      </c>
      <c r="D1970" t="s">
        <v>63</v>
      </c>
      <c r="E1970" t="s">
        <v>553</v>
      </c>
    </row>
    <row r="1971" spans="1:5" x14ac:dyDescent="0.25">
      <c r="A1971" t="s">
        <v>499</v>
      </c>
      <c r="B1971" t="s">
        <v>16</v>
      </c>
      <c r="C1971" t="s">
        <v>18</v>
      </c>
      <c r="D1971" t="s">
        <v>67</v>
      </c>
      <c r="E1971" t="s">
        <v>517</v>
      </c>
    </row>
    <row r="1972" spans="1:5" x14ac:dyDescent="0.25">
      <c r="A1972" t="s">
        <v>499</v>
      </c>
      <c r="B1972" t="s">
        <v>16</v>
      </c>
      <c r="C1972" t="s">
        <v>4</v>
      </c>
      <c r="D1972" t="s">
        <v>67</v>
      </c>
      <c r="E1972" t="s">
        <v>521</v>
      </c>
    </row>
    <row r="1973" spans="1:5" x14ac:dyDescent="0.25">
      <c r="A1973" t="s">
        <v>499</v>
      </c>
      <c r="B1973" t="s">
        <v>16</v>
      </c>
      <c r="C1973" t="s">
        <v>5</v>
      </c>
      <c r="D1973" t="s">
        <v>67</v>
      </c>
      <c r="E1973" t="s">
        <v>526</v>
      </c>
    </row>
    <row r="1974" spans="1:5" x14ac:dyDescent="0.25">
      <c r="A1974" t="s">
        <v>499</v>
      </c>
      <c r="B1974" t="s">
        <v>288</v>
      </c>
      <c r="C1974" t="s">
        <v>18</v>
      </c>
      <c r="D1974" t="s">
        <v>67</v>
      </c>
      <c r="E1974" t="s">
        <v>531</v>
      </c>
    </row>
    <row r="1975" spans="1:5" x14ac:dyDescent="0.25">
      <c r="A1975" t="s">
        <v>499</v>
      </c>
      <c r="B1975" t="s">
        <v>288</v>
      </c>
      <c r="C1975" t="s">
        <v>4</v>
      </c>
      <c r="D1975" t="s">
        <v>67</v>
      </c>
      <c r="E1975" t="s">
        <v>535</v>
      </c>
    </row>
    <row r="1976" spans="1:5" x14ac:dyDescent="0.25">
      <c r="A1976" t="s">
        <v>499</v>
      </c>
      <c r="B1976" t="s">
        <v>288</v>
      </c>
      <c r="C1976" t="s">
        <v>5</v>
      </c>
      <c r="D1976" t="s">
        <v>67</v>
      </c>
      <c r="E1976" t="s">
        <v>540</v>
      </c>
    </row>
    <row r="1977" spans="1:5" x14ac:dyDescent="0.25">
      <c r="A1977" t="s">
        <v>499</v>
      </c>
      <c r="B1977" t="s">
        <v>285</v>
      </c>
      <c r="C1977" t="s">
        <v>18</v>
      </c>
      <c r="D1977" t="s">
        <v>67</v>
      </c>
      <c r="E1977" t="s">
        <v>545</v>
      </c>
    </row>
    <row r="1978" spans="1:5" x14ac:dyDescent="0.25">
      <c r="A1978" t="s">
        <v>499</v>
      </c>
      <c r="B1978" t="s">
        <v>285</v>
      </c>
      <c r="C1978" t="s">
        <v>4</v>
      </c>
      <c r="D1978" t="s">
        <v>67</v>
      </c>
      <c r="E1978" t="s">
        <v>549</v>
      </c>
    </row>
    <row r="1979" spans="1:5" x14ac:dyDescent="0.25">
      <c r="A1979" t="s">
        <v>499</v>
      </c>
      <c r="B1979" t="s">
        <v>285</v>
      </c>
      <c r="C1979" t="s">
        <v>5</v>
      </c>
      <c r="D1979" t="s">
        <v>67</v>
      </c>
      <c r="E1979" t="s">
        <v>554</v>
      </c>
    </row>
    <row r="1980" spans="1:5" x14ac:dyDescent="0.25">
      <c r="A1980" t="s">
        <v>499</v>
      </c>
      <c r="B1980" t="s">
        <v>16</v>
      </c>
      <c r="C1980" t="s">
        <v>18</v>
      </c>
      <c r="D1980" t="s">
        <v>233</v>
      </c>
      <c r="E1980" t="s">
        <v>518</v>
      </c>
    </row>
    <row r="1981" spans="1:5" x14ac:dyDescent="0.25">
      <c r="A1981" t="s">
        <v>499</v>
      </c>
      <c r="B1981" t="s">
        <v>16</v>
      </c>
      <c r="C1981" t="s">
        <v>4</v>
      </c>
      <c r="D1981" t="s">
        <v>233</v>
      </c>
      <c r="E1981" t="s">
        <v>522</v>
      </c>
    </row>
    <row r="1982" spans="1:5" x14ac:dyDescent="0.25">
      <c r="A1982" t="s">
        <v>499</v>
      </c>
      <c r="B1982" t="s">
        <v>16</v>
      </c>
      <c r="C1982" t="s">
        <v>5</v>
      </c>
      <c r="D1982" t="s">
        <v>233</v>
      </c>
      <c r="E1982" t="s">
        <v>527</v>
      </c>
    </row>
    <row r="1983" spans="1:5" x14ac:dyDescent="0.25">
      <c r="A1983" t="s">
        <v>499</v>
      </c>
      <c r="B1983" t="s">
        <v>288</v>
      </c>
      <c r="C1983" t="s">
        <v>18</v>
      </c>
      <c r="D1983" t="s">
        <v>233</v>
      </c>
      <c r="E1983" t="s">
        <v>532</v>
      </c>
    </row>
    <row r="1984" spans="1:5" x14ac:dyDescent="0.25">
      <c r="A1984" t="s">
        <v>499</v>
      </c>
      <c r="B1984" t="s">
        <v>288</v>
      </c>
      <c r="C1984" t="s">
        <v>4</v>
      </c>
      <c r="D1984" t="s">
        <v>233</v>
      </c>
      <c r="E1984" t="s">
        <v>536</v>
      </c>
    </row>
    <row r="1985" spans="1:5" x14ac:dyDescent="0.25">
      <c r="A1985" t="s">
        <v>499</v>
      </c>
      <c r="B1985" t="s">
        <v>288</v>
      </c>
      <c r="C1985" t="s">
        <v>5</v>
      </c>
      <c r="D1985" t="s">
        <v>233</v>
      </c>
      <c r="E1985" t="s">
        <v>541</v>
      </c>
    </row>
    <row r="1986" spans="1:5" x14ac:dyDescent="0.25">
      <c r="A1986" t="s">
        <v>499</v>
      </c>
      <c r="B1986" t="s">
        <v>285</v>
      </c>
      <c r="C1986" t="s">
        <v>18</v>
      </c>
      <c r="D1986" t="s">
        <v>233</v>
      </c>
      <c r="E1986" t="s">
        <v>546</v>
      </c>
    </row>
    <row r="1987" spans="1:5" x14ac:dyDescent="0.25">
      <c r="A1987" t="s">
        <v>499</v>
      </c>
      <c r="B1987" t="s">
        <v>285</v>
      </c>
      <c r="C1987" t="s">
        <v>4</v>
      </c>
      <c r="D1987" t="s">
        <v>233</v>
      </c>
      <c r="E1987" t="s">
        <v>550</v>
      </c>
    </row>
    <row r="1988" spans="1:5" x14ac:dyDescent="0.25">
      <c r="A1988" t="s">
        <v>499</v>
      </c>
      <c r="B1988" t="s">
        <v>285</v>
      </c>
      <c r="C1988" t="s">
        <v>5</v>
      </c>
      <c r="D1988" t="s">
        <v>233</v>
      </c>
      <c r="E1988" t="s">
        <v>555</v>
      </c>
    </row>
    <row r="1989" spans="1:5" x14ac:dyDescent="0.25">
      <c r="A1989" t="s">
        <v>499</v>
      </c>
      <c r="B1989" t="s">
        <v>16</v>
      </c>
      <c r="C1989" t="s">
        <v>4</v>
      </c>
      <c r="D1989" t="s">
        <v>239</v>
      </c>
      <c r="E1989" t="s">
        <v>523</v>
      </c>
    </row>
    <row r="1990" spans="1:5" x14ac:dyDescent="0.25">
      <c r="A1990" t="s">
        <v>499</v>
      </c>
      <c r="B1990" t="s">
        <v>16</v>
      </c>
      <c r="C1990" t="s">
        <v>5</v>
      </c>
      <c r="D1990" t="s">
        <v>239</v>
      </c>
      <c r="E1990" t="s">
        <v>528</v>
      </c>
    </row>
    <row r="1991" spans="1:5" x14ac:dyDescent="0.25">
      <c r="A1991" t="s">
        <v>499</v>
      </c>
      <c r="B1991" t="s">
        <v>288</v>
      </c>
      <c r="C1991" t="s">
        <v>4</v>
      </c>
      <c r="D1991" t="s">
        <v>239</v>
      </c>
      <c r="E1991" t="s">
        <v>537</v>
      </c>
    </row>
    <row r="1992" spans="1:5" x14ac:dyDescent="0.25">
      <c r="A1992" t="s">
        <v>499</v>
      </c>
      <c r="B1992" t="s">
        <v>288</v>
      </c>
      <c r="C1992" t="s">
        <v>5</v>
      </c>
      <c r="D1992" t="s">
        <v>239</v>
      </c>
      <c r="E1992" t="s">
        <v>542</v>
      </c>
    </row>
    <row r="1993" spans="1:5" x14ac:dyDescent="0.25">
      <c r="A1993" t="s">
        <v>499</v>
      </c>
      <c r="B1993" t="s">
        <v>285</v>
      </c>
      <c r="C1993" t="s">
        <v>4</v>
      </c>
      <c r="D1993" t="s">
        <v>239</v>
      </c>
      <c r="E1993" t="s">
        <v>551</v>
      </c>
    </row>
    <row r="1994" spans="1:5" x14ac:dyDescent="0.25">
      <c r="A1994" t="s">
        <v>499</v>
      </c>
      <c r="B1994" t="s">
        <v>285</v>
      </c>
      <c r="C1994" t="s">
        <v>5</v>
      </c>
      <c r="D1994" t="s">
        <v>239</v>
      </c>
      <c r="E1994" t="s">
        <v>556</v>
      </c>
    </row>
    <row r="1995" spans="1:5" x14ac:dyDescent="0.25">
      <c r="A1995" t="s">
        <v>499</v>
      </c>
      <c r="B1995" t="s">
        <v>16</v>
      </c>
      <c r="C1995" t="s">
        <v>4</v>
      </c>
      <c r="D1995" t="s">
        <v>6</v>
      </c>
      <c r="E1995">
        <v>11469</v>
      </c>
    </row>
    <row r="1996" spans="1:5" x14ac:dyDescent="0.25">
      <c r="A1996" t="s">
        <v>499</v>
      </c>
      <c r="B1996" t="s">
        <v>16</v>
      </c>
      <c r="C1996" t="s">
        <v>18</v>
      </c>
      <c r="D1996" t="s">
        <v>6</v>
      </c>
      <c r="E1996">
        <v>108</v>
      </c>
    </row>
    <row r="1997" spans="1:5" x14ac:dyDescent="0.25">
      <c r="A1997" t="s">
        <v>499</v>
      </c>
      <c r="B1997" t="s">
        <v>16</v>
      </c>
      <c r="C1997" t="s">
        <v>5</v>
      </c>
      <c r="D1997" t="s">
        <v>6</v>
      </c>
      <c r="E1997">
        <v>2882</v>
      </c>
    </row>
    <row r="1998" spans="1:5" x14ac:dyDescent="0.25">
      <c r="A1998" t="s">
        <v>499</v>
      </c>
      <c r="B1998" t="s">
        <v>285</v>
      </c>
      <c r="C1998" t="s">
        <v>4</v>
      </c>
      <c r="D1998" t="s">
        <v>6</v>
      </c>
      <c r="E1998">
        <v>3549</v>
      </c>
    </row>
    <row r="1999" spans="1:5" x14ac:dyDescent="0.25">
      <c r="A1999" t="s">
        <v>499</v>
      </c>
      <c r="B1999" t="s">
        <v>285</v>
      </c>
      <c r="C1999" t="s">
        <v>18</v>
      </c>
      <c r="D1999" t="s">
        <v>6</v>
      </c>
      <c r="E1999">
        <v>407</v>
      </c>
    </row>
    <row r="2000" spans="1:5" x14ac:dyDescent="0.25">
      <c r="A2000" t="s">
        <v>499</v>
      </c>
      <c r="B2000" t="s">
        <v>285</v>
      </c>
      <c r="C2000" t="s">
        <v>5</v>
      </c>
      <c r="D2000" t="s">
        <v>6</v>
      </c>
      <c r="E2000">
        <v>2387</v>
      </c>
    </row>
    <row r="2001" spans="1:5" x14ac:dyDescent="0.25">
      <c r="A2001" t="s">
        <v>499</v>
      </c>
      <c r="B2001" t="s">
        <v>288</v>
      </c>
      <c r="C2001" t="s">
        <v>4</v>
      </c>
      <c r="D2001" t="s">
        <v>6</v>
      </c>
      <c r="E2001">
        <v>11129</v>
      </c>
    </row>
    <row r="2002" spans="1:5" x14ac:dyDescent="0.25">
      <c r="A2002" t="s">
        <v>499</v>
      </c>
      <c r="B2002" t="s">
        <v>288</v>
      </c>
      <c r="C2002" t="s">
        <v>18</v>
      </c>
      <c r="D2002" t="s">
        <v>6</v>
      </c>
      <c r="E2002">
        <v>860</v>
      </c>
    </row>
    <row r="2003" spans="1:5" x14ac:dyDescent="0.25">
      <c r="A2003" t="s">
        <v>499</v>
      </c>
      <c r="B2003" t="s">
        <v>288</v>
      </c>
      <c r="C2003" t="s">
        <v>5</v>
      </c>
      <c r="D2003" t="s">
        <v>6</v>
      </c>
      <c r="E2003">
        <v>3192</v>
      </c>
    </row>
    <row r="2004" spans="1:5" x14ac:dyDescent="0.25">
      <c r="A2004" t="s">
        <v>499</v>
      </c>
      <c r="B2004" t="s">
        <v>16</v>
      </c>
      <c r="C2004" t="s">
        <v>4</v>
      </c>
      <c r="D2004" t="s">
        <v>17</v>
      </c>
      <c r="E2004">
        <v>558</v>
      </c>
    </row>
    <row r="2005" spans="1:5" x14ac:dyDescent="0.25">
      <c r="A2005" t="s">
        <v>499</v>
      </c>
      <c r="B2005" t="s">
        <v>16</v>
      </c>
      <c r="C2005" t="s">
        <v>18</v>
      </c>
      <c r="D2005" t="s">
        <v>17</v>
      </c>
      <c r="E2005">
        <v>9</v>
      </c>
    </row>
    <row r="2006" spans="1:5" x14ac:dyDescent="0.25">
      <c r="A2006" t="s">
        <v>499</v>
      </c>
      <c r="B2006" t="s">
        <v>16</v>
      </c>
      <c r="C2006" t="s">
        <v>5</v>
      </c>
      <c r="D2006" t="s">
        <v>17</v>
      </c>
      <c r="E2006">
        <v>3</v>
      </c>
    </row>
    <row r="2007" spans="1:5" x14ac:dyDescent="0.25">
      <c r="A2007" t="s">
        <v>499</v>
      </c>
      <c r="B2007" t="s">
        <v>285</v>
      </c>
      <c r="C2007" t="s">
        <v>4</v>
      </c>
      <c r="D2007" t="s">
        <v>17</v>
      </c>
      <c r="E2007">
        <v>69</v>
      </c>
    </row>
    <row r="2008" spans="1:5" x14ac:dyDescent="0.25">
      <c r="A2008" t="s">
        <v>499</v>
      </c>
      <c r="B2008" t="s">
        <v>285</v>
      </c>
      <c r="C2008" t="s">
        <v>18</v>
      </c>
      <c r="D2008" t="s">
        <v>17</v>
      </c>
      <c r="E2008">
        <v>13</v>
      </c>
    </row>
    <row r="2009" spans="1:5" x14ac:dyDescent="0.25">
      <c r="A2009" t="s">
        <v>499</v>
      </c>
      <c r="B2009" t="s">
        <v>285</v>
      </c>
      <c r="C2009" t="s">
        <v>5</v>
      </c>
      <c r="D2009" t="s">
        <v>17</v>
      </c>
      <c r="E2009">
        <v>10</v>
      </c>
    </row>
    <row r="2010" spans="1:5" x14ac:dyDescent="0.25">
      <c r="A2010" t="s">
        <v>499</v>
      </c>
      <c r="B2010" t="s">
        <v>288</v>
      </c>
      <c r="C2010" t="s">
        <v>4</v>
      </c>
      <c r="D2010" t="s">
        <v>17</v>
      </c>
      <c r="E2010">
        <v>92</v>
      </c>
    </row>
    <row r="2011" spans="1:5" x14ac:dyDescent="0.25">
      <c r="A2011" t="s">
        <v>499</v>
      </c>
      <c r="B2011" t="s">
        <v>288</v>
      </c>
      <c r="C2011" t="s">
        <v>18</v>
      </c>
      <c r="D2011" t="s">
        <v>17</v>
      </c>
      <c r="E2011">
        <v>4</v>
      </c>
    </row>
    <row r="2012" spans="1:5" x14ac:dyDescent="0.25">
      <c r="A2012" t="s">
        <v>499</v>
      </c>
      <c r="B2012" t="s">
        <v>288</v>
      </c>
      <c r="C2012" t="s">
        <v>5</v>
      </c>
      <c r="D2012" t="s">
        <v>17</v>
      </c>
      <c r="E2012">
        <v>126</v>
      </c>
    </row>
    <row r="2013" spans="1:5" x14ac:dyDescent="0.25">
      <c r="A2013" t="s">
        <v>499</v>
      </c>
      <c r="B2013" t="s">
        <v>285</v>
      </c>
      <c r="C2013" t="s">
        <v>5</v>
      </c>
      <c r="D2013" t="s">
        <v>31</v>
      </c>
      <c r="E2013" t="s">
        <v>557</v>
      </c>
    </row>
    <row r="2014" spans="1:5" x14ac:dyDescent="0.25">
      <c r="A2014" t="s">
        <v>499</v>
      </c>
      <c r="B2014" t="s">
        <v>288</v>
      </c>
      <c r="C2014" t="s">
        <v>4</v>
      </c>
      <c r="D2014" t="s">
        <v>31</v>
      </c>
      <c r="E2014" t="s">
        <v>558</v>
      </c>
    </row>
    <row r="2015" spans="1:5" x14ac:dyDescent="0.25">
      <c r="A2015" t="s">
        <v>499</v>
      </c>
      <c r="B2015" t="s">
        <v>288</v>
      </c>
      <c r="C2015" t="s">
        <v>5</v>
      </c>
      <c r="D2015" t="s">
        <v>31</v>
      </c>
      <c r="E2015" t="s">
        <v>559</v>
      </c>
    </row>
    <row r="2016" spans="1:5" x14ac:dyDescent="0.25">
      <c r="A2016" t="s">
        <v>499</v>
      </c>
      <c r="B2016" t="s">
        <v>285</v>
      </c>
      <c r="C2016" t="s">
        <v>5</v>
      </c>
      <c r="D2016" t="s">
        <v>249</v>
      </c>
      <c r="E2016" t="s">
        <v>560</v>
      </c>
    </row>
    <row r="2017" spans="1:5" x14ac:dyDescent="0.25">
      <c r="A2017" t="s">
        <v>499</v>
      </c>
      <c r="B2017" t="s">
        <v>288</v>
      </c>
      <c r="C2017" t="s">
        <v>18</v>
      </c>
      <c r="D2017" t="s">
        <v>34</v>
      </c>
      <c r="E2017" t="s">
        <v>561</v>
      </c>
    </row>
    <row r="2018" spans="1:5" x14ac:dyDescent="0.25">
      <c r="A2018" t="s">
        <v>499</v>
      </c>
      <c r="B2018" t="s">
        <v>16</v>
      </c>
      <c r="C2018" t="s">
        <v>4</v>
      </c>
      <c r="D2018" t="s">
        <v>38</v>
      </c>
      <c r="E2018" t="s">
        <v>562</v>
      </c>
    </row>
    <row r="2019" spans="1:5" x14ac:dyDescent="0.25">
      <c r="A2019" t="s">
        <v>499</v>
      </c>
      <c r="B2019" t="s">
        <v>16</v>
      </c>
      <c r="C2019" t="s">
        <v>18</v>
      </c>
      <c r="D2019" t="s">
        <v>38</v>
      </c>
      <c r="E2019" t="s">
        <v>563</v>
      </c>
    </row>
    <row r="2020" spans="1:5" x14ac:dyDescent="0.25">
      <c r="A2020" t="s">
        <v>499</v>
      </c>
      <c r="B2020" t="s">
        <v>16</v>
      </c>
      <c r="C2020" t="s">
        <v>5</v>
      </c>
      <c r="D2020" t="s">
        <v>38</v>
      </c>
      <c r="E2020" t="s">
        <v>564</v>
      </c>
    </row>
    <row r="2021" spans="1:5" x14ac:dyDescent="0.25">
      <c r="A2021" t="s">
        <v>499</v>
      </c>
      <c r="B2021" t="s">
        <v>285</v>
      </c>
      <c r="C2021" t="s">
        <v>4</v>
      </c>
      <c r="D2021" t="s">
        <v>38</v>
      </c>
      <c r="E2021" t="s">
        <v>565</v>
      </c>
    </row>
    <row r="2022" spans="1:5" x14ac:dyDescent="0.25">
      <c r="A2022" t="s">
        <v>499</v>
      </c>
      <c r="B2022" t="s">
        <v>285</v>
      </c>
      <c r="C2022" t="s">
        <v>18</v>
      </c>
      <c r="D2022" t="s">
        <v>38</v>
      </c>
      <c r="E2022" t="s">
        <v>566</v>
      </c>
    </row>
    <row r="2023" spans="1:5" x14ac:dyDescent="0.25">
      <c r="A2023" t="s">
        <v>499</v>
      </c>
      <c r="B2023" t="s">
        <v>285</v>
      </c>
      <c r="C2023" t="s">
        <v>5</v>
      </c>
      <c r="D2023" t="s">
        <v>38</v>
      </c>
      <c r="E2023" t="s">
        <v>567</v>
      </c>
    </row>
    <row r="2024" spans="1:5" x14ac:dyDescent="0.25">
      <c r="A2024" t="s">
        <v>499</v>
      </c>
      <c r="B2024" t="s">
        <v>288</v>
      </c>
      <c r="C2024" t="s">
        <v>4</v>
      </c>
      <c r="D2024" t="s">
        <v>38</v>
      </c>
      <c r="E2024" t="s">
        <v>568</v>
      </c>
    </row>
    <row r="2025" spans="1:5" x14ac:dyDescent="0.25">
      <c r="A2025" t="s">
        <v>499</v>
      </c>
      <c r="B2025" t="s">
        <v>288</v>
      </c>
      <c r="C2025" t="s">
        <v>18</v>
      </c>
      <c r="D2025" t="s">
        <v>38</v>
      </c>
      <c r="E2025" t="s">
        <v>569</v>
      </c>
    </row>
    <row r="2026" spans="1:5" x14ac:dyDescent="0.25">
      <c r="A2026" t="s">
        <v>499</v>
      </c>
      <c r="B2026" t="s">
        <v>288</v>
      </c>
      <c r="C2026" t="s">
        <v>5</v>
      </c>
      <c r="D2026" t="s">
        <v>38</v>
      </c>
      <c r="E2026" t="s">
        <v>570</v>
      </c>
    </row>
    <row r="2027" spans="1:5" x14ac:dyDescent="0.25">
      <c r="A2027" t="s">
        <v>499</v>
      </c>
      <c r="B2027" t="s">
        <v>16</v>
      </c>
      <c r="C2027" t="s">
        <v>4</v>
      </c>
      <c r="D2027" t="s">
        <v>20</v>
      </c>
      <c r="E2027">
        <v>6427</v>
      </c>
    </row>
    <row r="2028" spans="1:5" x14ac:dyDescent="0.25">
      <c r="A2028" t="s">
        <v>499</v>
      </c>
      <c r="B2028" t="s">
        <v>16</v>
      </c>
      <c r="C2028" t="s">
        <v>18</v>
      </c>
      <c r="D2028" t="s">
        <v>20</v>
      </c>
      <c r="E2028">
        <v>534</v>
      </c>
    </row>
    <row r="2029" spans="1:5" x14ac:dyDescent="0.25">
      <c r="A2029" t="s">
        <v>499</v>
      </c>
      <c r="B2029" t="s">
        <v>16</v>
      </c>
      <c r="C2029" t="s">
        <v>5</v>
      </c>
      <c r="D2029" t="s">
        <v>20</v>
      </c>
      <c r="E2029">
        <v>1600</v>
      </c>
    </row>
    <row r="2030" spans="1:5" x14ac:dyDescent="0.25">
      <c r="A2030" t="s">
        <v>499</v>
      </c>
      <c r="B2030" t="s">
        <v>285</v>
      </c>
      <c r="C2030" t="s">
        <v>4</v>
      </c>
      <c r="D2030" t="s">
        <v>20</v>
      </c>
      <c r="E2030">
        <v>4586</v>
      </c>
    </row>
    <row r="2031" spans="1:5" x14ac:dyDescent="0.25">
      <c r="A2031" t="s">
        <v>499</v>
      </c>
      <c r="B2031" t="s">
        <v>285</v>
      </c>
      <c r="C2031" t="s">
        <v>18</v>
      </c>
      <c r="D2031" t="s">
        <v>20</v>
      </c>
      <c r="E2031">
        <v>344</v>
      </c>
    </row>
    <row r="2032" spans="1:5" x14ac:dyDescent="0.25">
      <c r="A2032" t="s">
        <v>499</v>
      </c>
      <c r="B2032" t="s">
        <v>285</v>
      </c>
      <c r="C2032" t="s">
        <v>5</v>
      </c>
      <c r="D2032" t="s">
        <v>20</v>
      </c>
      <c r="E2032">
        <v>4073</v>
      </c>
    </row>
    <row r="2033" spans="1:5" x14ac:dyDescent="0.25">
      <c r="A2033" t="s">
        <v>499</v>
      </c>
      <c r="B2033" t="s">
        <v>288</v>
      </c>
      <c r="C2033" t="s">
        <v>4</v>
      </c>
      <c r="D2033" t="s">
        <v>20</v>
      </c>
      <c r="E2033">
        <v>4627</v>
      </c>
    </row>
    <row r="2034" spans="1:5" x14ac:dyDescent="0.25">
      <c r="A2034" t="s">
        <v>499</v>
      </c>
      <c r="B2034" t="s">
        <v>288</v>
      </c>
      <c r="C2034" t="s">
        <v>18</v>
      </c>
      <c r="D2034" t="s">
        <v>20</v>
      </c>
      <c r="E2034">
        <v>155</v>
      </c>
    </row>
    <row r="2035" spans="1:5" x14ac:dyDescent="0.25">
      <c r="A2035" t="s">
        <v>499</v>
      </c>
      <c r="B2035" t="s">
        <v>288</v>
      </c>
      <c r="C2035" t="s">
        <v>5</v>
      </c>
      <c r="D2035" t="s">
        <v>20</v>
      </c>
      <c r="E2035">
        <v>2287</v>
      </c>
    </row>
    <row r="2036" spans="1:5" x14ac:dyDescent="0.25">
      <c r="A2036" t="s">
        <v>499</v>
      </c>
      <c r="B2036" t="s">
        <v>16</v>
      </c>
      <c r="C2036" t="s">
        <v>4</v>
      </c>
      <c r="D2036" t="s">
        <v>42</v>
      </c>
      <c r="E2036">
        <v>155</v>
      </c>
    </row>
    <row r="2037" spans="1:5" x14ac:dyDescent="0.25">
      <c r="A2037" t="s">
        <v>499</v>
      </c>
      <c r="B2037" t="s">
        <v>285</v>
      </c>
      <c r="C2037" t="s">
        <v>4</v>
      </c>
      <c r="D2037" t="s">
        <v>42</v>
      </c>
      <c r="E2037">
        <v>133</v>
      </c>
    </row>
    <row r="2038" spans="1:5" x14ac:dyDescent="0.25">
      <c r="A2038" t="s">
        <v>499</v>
      </c>
      <c r="B2038" t="s">
        <v>285</v>
      </c>
      <c r="C2038" t="s">
        <v>18</v>
      </c>
      <c r="D2038" t="s">
        <v>42</v>
      </c>
      <c r="E2038">
        <v>12</v>
      </c>
    </row>
    <row r="2039" spans="1:5" x14ac:dyDescent="0.25">
      <c r="A2039" t="s">
        <v>499</v>
      </c>
      <c r="B2039" t="s">
        <v>288</v>
      </c>
      <c r="C2039" t="s">
        <v>4</v>
      </c>
      <c r="D2039" t="s">
        <v>42</v>
      </c>
      <c r="E2039">
        <v>206</v>
      </c>
    </row>
    <row r="2040" spans="1:5" x14ac:dyDescent="0.25">
      <c r="A2040" t="s">
        <v>499</v>
      </c>
      <c r="B2040" t="s">
        <v>285</v>
      </c>
      <c r="C2040" t="s">
        <v>5</v>
      </c>
      <c r="D2040" t="s">
        <v>43</v>
      </c>
      <c r="E2040">
        <v>22</v>
      </c>
    </row>
    <row r="2041" spans="1:5" x14ac:dyDescent="0.25">
      <c r="A2041" t="s">
        <v>499</v>
      </c>
      <c r="B2041" t="s">
        <v>288</v>
      </c>
      <c r="C2041" t="s">
        <v>4</v>
      </c>
      <c r="D2041" t="s">
        <v>43</v>
      </c>
      <c r="E2041">
        <v>8</v>
      </c>
    </row>
    <row r="2042" spans="1:5" x14ac:dyDescent="0.25">
      <c r="A2042" t="s">
        <v>499</v>
      </c>
      <c r="B2042" t="s">
        <v>16</v>
      </c>
      <c r="C2042" t="s">
        <v>4</v>
      </c>
      <c r="D2042" t="s">
        <v>44</v>
      </c>
      <c r="E2042">
        <v>6272</v>
      </c>
    </row>
    <row r="2043" spans="1:5" x14ac:dyDescent="0.25">
      <c r="A2043" t="s">
        <v>499</v>
      </c>
      <c r="B2043" t="s">
        <v>16</v>
      </c>
      <c r="C2043" t="s">
        <v>18</v>
      </c>
      <c r="D2043" t="s">
        <v>44</v>
      </c>
      <c r="E2043">
        <v>534</v>
      </c>
    </row>
    <row r="2044" spans="1:5" x14ac:dyDescent="0.25">
      <c r="A2044" t="s">
        <v>499</v>
      </c>
      <c r="B2044" t="s">
        <v>16</v>
      </c>
      <c r="C2044" t="s">
        <v>5</v>
      </c>
      <c r="D2044" t="s">
        <v>44</v>
      </c>
      <c r="E2044">
        <v>1600</v>
      </c>
    </row>
    <row r="2045" spans="1:5" x14ac:dyDescent="0.25">
      <c r="A2045" t="s">
        <v>499</v>
      </c>
      <c r="B2045" t="s">
        <v>285</v>
      </c>
      <c r="C2045" t="s">
        <v>4</v>
      </c>
      <c r="D2045" t="s">
        <v>44</v>
      </c>
      <c r="E2045">
        <v>4453</v>
      </c>
    </row>
    <row r="2046" spans="1:5" x14ac:dyDescent="0.25">
      <c r="A2046" t="s">
        <v>499</v>
      </c>
      <c r="B2046" t="s">
        <v>285</v>
      </c>
      <c r="C2046" t="s">
        <v>18</v>
      </c>
      <c r="D2046" t="s">
        <v>44</v>
      </c>
      <c r="E2046">
        <v>332</v>
      </c>
    </row>
    <row r="2047" spans="1:5" x14ac:dyDescent="0.25">
      <c r="A2047" t="s">
        <v>499</v>
      </c>
      <c r="B2047" t="s">
        <v>285</v>
      </c>
      <c r="C2047" t="s">
        <v>5</v>
      </c>
      <c r="D2047" t="s">
        <v>44</v>
      </c>
      <c r="E2047">
        <v>4051</v>
      </c>
    </row>
    <row r="2048" spans="1:5" x14ac:dyDescent="0.25">
      <c r="A2048" t="s">
        <v>499</v>
      </c>
      <c r="B2048" t="s">
        <v>288</v>
      </c>
      <c r="C2048" t="s">
        <v>4</v>
      </c>
      <c r="D2048" t="s">
        <v>44</v>
      </c>
      <c r="E2048">
        <v>4413</v>
      </c>
    </row>
    <row r="2049" spans="1:5" x14ac:dyDescent="0.25">
      <c r="A2049" t="s">
        <v>499</v>
      </c>
      <c r="B2049" t="s">
        <v>288</v>
      </c>
      <c r="C2049" t="s">
        <v>18</v>
      </c>
      <c r="D2049" t="s">
        <v>44</v>
      </c>
      <c r="E2049">
        <v>155</v>
      </c>
    </row>
    <row r="2050" spans="1:5" x14ac:dyDescent="0.25">
      <c r="A2050" t="s">
        <v>499</v>
      </c>
      <c r="B2050" t="s">
        <v>288</v>
      </c>
      <c r="C2050" t="s">
        <v>5</v>
      </c>
      <c r="D2050" t="s">
        <v>44</v>
      </c>
      <c r="E2050">
        <v>2287</v>
      </c>
    </row>
    <row r="2051" spans="1:5" x14ac:dyDescent="0.25">
      <c r="A2051" t="s">
        <v>499</v>
      </c>
      <c r="B2051" t="s">
        <v>285</v>
      </c>
      <c r="C2051" t="s">
        <v>4</v>
      </c>
      <c r="D2051" t="s">
        <v>571</v>
      </c>
      <c r="E2051">
        <v>838.91666666666652</v>
      </c>
    </row>
    <row r="2052" spans="1:5" x14ac:dyDescent="0.25">
      <c r="A2052" t="s">
        <v>499</v>
      </c>
      <c r="B2052" t="s">
        <v>16</v>
      </c>
      <c r="C2052" t="s">
        <v>4</v>
      </c>
      <c r="D2052" t="s">
        <v>21</v>
      </c>
      <c r="E2052">
        <v>0.93130328867235068</v>
      </c>
    </row>
    <row r="2053" spans="1:5" x14ac:dyDescent="0.25">
      <c r="A2053" t="s">
        <v>499</v>
      </c>
      <c r="B2053" t="s">
        <v>16</v>
      </c>
      <c r="C2053" t="s">
        <v>18</v>
      </c>
      <c r="D2053" t="s">
        <v>21</v>
      </c>
      <c r="E2053">
        <v>0.13154689403166869</v>
      </c>
    </row>
    <row r="2054" spans="1:5" x14ac:dyDescent="0.25">
      <c r="A2054" t="s">
        <v>499</v>
      </c>
      <c r="B2054" t="s">
        <v>16</v>
      </c>
      <c r="C2054" t="s">
        <v>5</v>
      </c>
      <c r="D2054" t="s">
        <v>21</v>
      </c>
      <c r="E2054">
        <v>0.95683930942895068</v>
      </c>
    </row>
    <row r="2055" spans="1:5" x14ac:dyDescent="0.25">
      <c r="A2055" t="s">
        <v>499</v>
      </c>
      <c r="B2055" t="s">
        <v>285</v>
      </c>
      <c r="C2055" t="s">
        <v>4</v>
      </c>
      <c r="D2055" t="s">
        <v>21</v>
      </c>
      <c r="E2055">
        <v>0.39939230249831192</v>
      </c>
    </row>
    <row r="2056" spans="1:5" x14ac:dyDescent="0.25">
      <c r="A2056" t="s">
        <v>499</v>
      </c>
      <c r="B2056" t="s">
        <v>285</v>
      </c>
      <c r="C2056" t="s">
        <v>18</v>
      </c>
      <c r="D2056" t="s">
        <v>21</v>
      </c>
      <c r="E2056">
        <v>0.46355353075170841</v>
      </c>
    </row>
    <row r="2057" spans="1:5" x14ac:dyDescent="0.25">
      <c r="A2057" t="s">
        <v>499</v>
      </c>
      <c r="B2057" t="s">
        <v>285</v>
      </c>
      <c r="C2057" t="s">
        <v>5</v>
      </c>
      <c r="D2057" t="s">
        <v>21</v>
      </c>
      <c r="E2057">
        <v>0.68690647482014389</v>
      </c>
    </row>
    <row r="2058" spans="1:5" x14ac:dyDescent="0.25">
      <c r="A2058" t="s">
        <v>499</v>
      </c>
      <c r="B2058" t="s">
        <v>288</v>
      </c>
      <c r="C2058" t="s">
        <v>4</v>
      </c>
      <c r="D2058" t="s">
        <v>21</v>
      </c>
      <c r="E2058">
        <v>0.89039123129850384</v>
      </c>
    </row>
    <row r="2059" spans="1:5" x14ac:dyDescent="0.25">
      <c r="A2059" t="s">
        <v>499</v>
      </c>
      <c r="B2059" t="s">
        <v>288</v>
      </c>
      <c r="C2059" t="s">
        <v>18</v>
      </c>
      <c r="D2059" t="s">
        <v>21</v>
      </c>
      <c r="E2059">
        <v>0.98623853211009171</v>
      </c>
    </row>
    <row r="2060" spans="1:5" x14ac:dyDescent="0.25">
      <c r="A2060" t="s">
        <v>499</v>
      </c>
      <c r="B2060" t="s">
        <v>288</v>
      </c>
      <c r="C2060" t="s">
        <v>5</v>
      </c>
      <c r="D2060" t="s">
        <v>21</v>
      </c>
      <c r="E2060">
        <v>0.95198329853862229</v>
      </c>
    </row>
    <row r="2061" spans="1:5" x14ac:dyDescent="0.25">
      <c r="A2061" t="s">
        <v>499</v>
      </c>
      <c r="B2061" t="s">
        <v>16</v>
      </c>
      <c r="C2061" t="s">
        <v>4</v>
      </c>
      <c r="D2061" t="s">
        <v>22</v>
      </c>
      <c r="E2061">
        <v>0.12683719041818919</v>
      </c>
    </row>
    <row r="2062" spans="1:5" x14ac:dyDescent="0.25">
      <c r="A2062" t="s">
        <v>499</v>
      </c>
      <c r="B2062" t="s">
        <v>16</v>
      </c>
      <c r="C2062" t="s">
        <v>18</v>
      </c>
      <c r="D2062" t="s">
        <v>22</v>
      </c>
      <c r="E2062">
        <v>0.10840438489646773</v>
      </c>
    </row>
    <row r="2063" spans="1:5" x14ac:dyDescent="0.25">
      <c r="A2063" t="s">
        <v>499</v>
      </c>
      <c r="B2063" t="s">
        <v>16</v>
      </c>
      <c r="C2063" t="s">
        <v>5</v>
      </c>
      <c r="D2063" t="s">
        <v>22</v>
      </c>
      <c r="E2063">
        <v>7.9386257505003333E-2</v>
      </c>
    </row>
    <row r="2064" spans="1:5" x14ac:dyDescent="0.25">
      <c r="A2064" t="s">
        <v>499</v>
      </c>
      <c r="B2064" t="s">
        <v>285</v>
      </c>
      <c r="C2064" t="s">
        <v>4</v>
      </c>
      <c r="D2064" t="s">
        <v>22</v>
      </c>
      <c r="E2064">
        <v>0.14415935178933154</v>
      </c>
    </row>
    <row r="2065" spans="1:5" x14ac:dyDescent="0.25">
      <c r="A2065" t="s">
        <v>499</v>
      </c>
      <c r="B2065" t="s">
        <v>285</v>
      </c>
      <c r="C2065" t="s">
        <v>18</v>
      </c>
      <c r="D2065" t="s">
        <v>22</v>
      </c>
      <c r="E2065">
        <v>0.13325740318906606</v>
      </c>
    </row>
    <row r="2066" spans="1:5" x14ac:dyDescent="0.25">
      <c r="A2066" t="s">
        <v>499</v>
      </c>
      <c r="B2066" t="s">
        <v>285</v>
      </c>
      <c r="C2066" t="s">
        <v>5</v>
      </c>
      <c r="D2066" t="s">
        <v>22</v>
      </c>
      <c r="E2066">
        <v>0.20299884659746251</v>
      </c>
    </row>
    <row r="2067" spans="1:5" x14ac:dyDescent="0.25">
      <c r="A2067" t="s">
        <v>499</v>
      </c>
      <c r="B2067" t="s">
        <v>288</v>
      </c>
      <c r="C2067" t="s">
        <v>4</v>
      </c>
      <c r="D2067" t="s">
        <v>22</v>
      </c>
      <c r="E2067">
        <v>8.8871096877501998E-2</v>
      </c>
    </row>
    <row r="2068" spans="1:5" x14ac:dyDescent="0.25">
      <c r="A2068" t="s">
        <v>499</v>
      </c>
      <c r="B2068" t="s">
        <v>288</v>
      </c>
      <c r="C2068" t="s">
        <v>18</v>
      </c>
      <c r="D2068" t="s">
        <v>22</v>
      </c>
      <c r="E2068">
        <v>1.6055045871559634E-2</v>
      </c>
    </row>
    <row r="2069" spans="1:5" x14ac:dyDescent="0.25">
      <c r="A2069" t="s">
        <v>499</v>
      </c>
      <c r="B2069" t="s">
        <v>288</v>
      </c>
      <c r="C2069" t="s">
        <v>5</v>
      </c>
      <c r="D2069" t="s">
        <v>22</v>
      </c>
      <c r="E2069">
        <v>0.13965980304386749</v>
      </c>
    </row>
    <row r="2070" spans="1:5" x14ac:dyDescent="0.25">
      <c r="A2070" t="s">
        <v>499</v>
      </c>
      <c r="B2070" t="s">
        <v>16</v>
      </c>
      <c r="C2070" t="s">
        <v>4</v>
      </c>
      <c r="D2070" t="s">
        <v>23</v>
      </c>
      <c r="E2070">
        <v>0.18871295168493707</v>
      </c>
    </row>
    <row r="2071" spans="1:5" x14ac:dyDescent="0.25">
      <c r="A2071" t="s">
        <v>499</v>
      </c>
      <c r="B2071" t="s">
        <v>16</v>
      </c>
      <c r="C2071" t="s">
        <v>18</v>
      </c>
      <c r="D2071" t="s">
        <v>23</v>
      </c>
      <c r="E2071">
        <v>0.32034104750304504</v>
      </c>
    </row>
    <row r="2072" spans="1:5" x14ac:dyDescent="0.25">
      <c r="A2072" t="s">
        <v>499</v>
      </c>
      <c r="B2072" t="s">
        <v>16</v>
      </c>
      <c r="C2072" t="s">
        <v>5</v>
      </c>
      <c r="D2072" t="s">
        <v>23</v>
      </c>
      <c r="E2072">
        <v>0.23949299533022017</v>
      </c>
    </row>
    <row r="2073" spans="1:5" x14ac:dyDescent="0.25">
      <c r="A2073" t="s">
        <v>499</v>
      </c>
      <c r="B2073" t="s">
        <v>285</v>
      </c>
      <c r="C2073" t="s">
        <v>4</v>
      </c>
      <c r="D2073" t="s">
        <v>23</v>
      </c>
      <c r="E2073">
        <v>0.3932027909070448</v>
      </c>
    </row>
    <row r="2074" spans="1:5" x14ac:dyDescent="0.25">
      <c r="A2074" t="s">
        <v>499</v>
      </c>
      <c r="B2074" t="s">
        <v>285</v>
      </c>
      <c r="C2074" t="s">
        <v>18</v>
      </c>
      <c r="D2074" t="s">
        <v>23</v>
      </c>
      <c r="E2074">
        <v>0.24259681093394081</v>
      </c>
    </row>
    <row r="2075" spans="1:5" x14ac:dyDescent="0.25">
      <c r="A2075" t="s">
        <v>499</v>
      </c>
      <c r="B2075" t="s">
        <v>285</v>
      </c>
      <c r="C2075" t="s">
        <v>5</v>
      </c>
      <c r="D2075" t="s">
        <v>23</v>
      </c>
      <c r="E2075">
        <v>0.27277970011534025</v>
      </c>
    </row>
    <row r="2076" spans="1:5" x14ac:dyDescent="0.25">
      <c r="A2076" t="s">
        <v>499</v>
      </c>
      <c r="B2076" t="s">
        <v>288</v>
      </c>
      <c r="C2076" t="s">
        <v>4</v>
      </c>
      <c r="D2076" t="s">
        <v>23</v>
      </c>
      <c r="E2076">
        <v>0.41497197758206567</v>
      </c>
    </row>
    <row r="2077" spans="1:5" x14ac:dyDescent="0.25">
      <c r="A2077" t="s">
        <v>499</v>
      </c>
      <c r="B2077" t="s">
        <v>288</v>
      </c>
      <c r="C2077" t="s">
        <v>18</v>
      </c>
      <c r="D2077" t="s">
        <v>23</v>
      </c>
      <c r="E2077">
        <v>0.43807339449541283</v>
      </c>
    </row>
    <row r="2078" spans="1:5" x14ac:dyDescent="0.25">
      <c r="A2078" t="s">
        <v>499</v>
      </c>
      <c r="B2078" t="s">
        <v>288</v>
      </c>
      <c r="C2078" t="s">
        <v>5</v>
      </c>
      <c r="D2078" t="s">
        <v>23</v>
      </c>
      <c r="E2078">
        <v>0.26618919725455087</v>
      </c>
    </row>
    <row r="2079" spans="1:5" x14ac:dyDescent="0.25">
      <c r="A2079" t="s">
        <v>499</v>
      </c>
      <c r="B2079" t="s">
        <v>16</v>
      </c>
      <c r="C2079" t="s">
        <v>4</v>
      </c>
      <c r="D2079" t="s">
        <v>621</v>
      </c>
      <c r="E2079">
        <v>0.68444985789687374</v>
      </c>
    </row>
    <row r="2080" spans="1:5" x14ac:dyDescent="0.25">
      <c r="A2080" t="s">
        <v>499</v>
      </c>
      <c r="B2080" t="s">
        <v>16</v>
      </c>
      <c r="C2080" t="s">
        <v>18</v>
      </c>
      <c r="D2080" t="s">
        <v>621</v>
      </c>
      <c r="E2080">
        <v>0.57125456760048721</v>
      </c>
    </row>
    <row r="2081" spans="1:5" x14ac:dyDescent="0.25">
      <c r="A2081" t="s">
        <v>499</v>
      </c>
      <c r="B2081" t="s">
        <v>16</v>
      </c>
      <c r="C2081" t="s">
        <v>5</v>
      </c>
      <c r="D2081" t="s">
        <v>621</v>
      </c>
      <c r="E2081">
        <v>0.68112074716477655</v>
      </c>
    </row>
    <row r="2082" spans="1:5" x14ac:dyDescent="0.25">
      <c r="A2082" t="s">
        <v>499</v>
      </c>
      <c r="B2082" t="s">
        <v>285</v>
      </c>
      <c r="C2082" t="s">
        <v>4</v>
      </c>
      <c r="D2082" t="s">
        <v>621</v>
      </c>
      <c r="E2082">
        <v>0.46263785730362367</v>
      </c>
    </row>
    <row r="2083" spans="1:5" x14ac:dyDescent="0.25">
      <c r="A2083" t="s">
        <v>499</v>
      </c>
      <c r="B2083" t="s">
        <v>285</v>
      </c>
      <c r="C2083" t="s">
        <v>18</v>
      </c>
      <c r="D2083" t="s">
        <v>621</v>
      </c>
      <c r="E2083">
        <v>0.62414578587699321</v>
      </c>
    </row>
    <row r="2084" spans="1:5" x14ac:dyDescent="0.25">
      <c r="A2084" t="s">
        <v>499</v>
      </c>
      <c r="B2084" t="s">
        <v>285</v>
      </c>
      <c r="C2084" t="s">
        <v>5</v>
      </c>
      <c r="D2084" t="s">
        <v>621</v>
      </c>
      <c r="E2084">
        <v>0.52422145328719727</v>
      </c>
    </row>
    <row r="2085" spans="1:5" x14ac:dyDescent="0.25">
      <c r="A2085" t="s">
        <v>499</v>
      </c>
      <c r="B2085" t="s">
        <v>288</v>
      </c>
      <c r="C2085" t="s">
        <v>4</v>
      </c>
      <c r="D2085" t="s">
        <v>621</v>
      </c>
      <c r="E2085">
        <v>0.49615692554043234</v>
      </c>
    </row>
    <row r="2086" spans="1:5" x14ac:dyDescent="0.25">
      <c r="A2086" t="s">
        <v>499</v>
      </c>
      <c r="B2086" t="s">
        <v>288</v>
      </c>
      <c r="C2086" t="s">
        <v>18</v>
      </c>
      <c r="D2086" t="s">
        <v>621</v>
      </c>
      <c r="E2086">
        <v>0.54587155963302747</v>
      </c>
    </row>
    <row r="2087" spans="1:5" x14ac:dyDescent="0.25">
      <c r="A2087" t="s">
        <v>499</v>
      </c>
      <c r="B2087" t="s">
        <v>288</v>
      </c>
      <c r="C2087" t="s">
        <v>5</v>
      </c>
      <c r="D2087" t="s">
        <v>621</v>
      </c>
      <c r="E2087">
        <v>0.59415099970158158</v>
      </c>
    </row>
    <row r="2088" spans="1:5" x14ac:dyDescent="0.25">
      <c r="A2088" t="s">
        <v>499</v>
      </c>
      <c r="B2088" t="s">
        <v>16</v>
      </c>
      <c r="C2088" t="s">
        <v>5</v>
      </c>
      <c r="D2088" t="s">
        <v>256</v>
      </c>
      <c r="E2088" t="s">
        <v>283</v>
      </c>
    </row>
    <row r="2089" spans="1:5" x14ac:dyDescent="0.25">
      <c r="A2089" t="s">
        <v>499</v>
      </c>
      <c r="B2089" t="s">
        <v>16</v>
      </c>
      <c r="C2089" t="s">
        <v>4</v>
      </c>
      <c r="D2089" t="s">
        <v>24</v>
      </c>
      <c r="E2089">
        <v>398.94000000000005</v>
      </c>
    </row>
    <row r="2090" spans="1:5" x14ac:dyDescent="0.25">
      <c r="A2090" t="s">
        <v>499</v>
      </c>
      <c r="B2090" t="s">
        <v>16</v>
      </c>
      <c r="C2090" t="s">
        <v>18</v>
      </c>
      <c r="D2090" t="s">
        <v>24</v>
      </c>
      <c r="E2090">
        <v>77.61999999999999</v>
      </c>
    </row>
    <row r="2091" spans="1:5" x14ac:dyDescent="0.25">
      <c r="A2091" t="s">
        <v>499</v>
      </c>
      <c r="B2091" t="s">
        <v>16</v>
      </c>
      <c r="C2091" t="s">
        <v>5</v>
      </c>
      <c r="D2091" t="s">
        <v>24</v>
      </c>
      <c r="E2091">
        <v>235.52</v>
      </c>
    </row>
    <row r="2092" spans="1:5" x14ac:dyDescent="0.25">
      <c r="A2092" t="s">
        <v>499</v>
      </c>
      <c r="B2092" t="s">
        <v>285</v>
      </c>
      <c r="C2092" t="s">
        <v>4</v>
      </c>
      <c r="D2092" t="s">
        <v>24</v>
      </c>
      <c r="E2092">
        <v>473.2600000000001</v>
      </c>
    </row>
    <row r="2093" spans="1:5" x14ac:dyDescent="0.25">
      <c r="A2093" t="s">
        <v>499</v>
      </c>
      <c r="B2093" t="s">
        <v>285</v>
      </c>
      <c r="C2093" t="s">
        <v>18</v>
      </c>
      <c r="D2093" t="s">
        <v>24</v>
      </c>
      <c r="E2093">
        <v>0.62</v>
      </c>
    </row>
    <row r="2094" spans="1:5" x14ac:dyDescent="0.25">
      <c r="A2094" t="s">
        <v>499</v>
      </c>
      <c r="B2094" t="s">
        <v>285</v>
      </c>
      <c r="C2094" t="s">
        <v>5</v>
      </c>
      <c r="D2094" t="s">
        <v>24</v>
      </c>
      <c r="E2094">
        <v>263.48999999999995</v>
      </c>
    </row>
    <row r="2095" spans="1:5" x14ac:dyDescent="0.25">
      <c r="A2095" t="s">
        <v>499</v>
      </c>
      <c r="B2095" t="s">
        <v>288</v>
      </c>
      <c r="C2095" t="s">
        <v>4</v>
      </c>
      <c r="D2095" t="s">
        <v>24</v>
      </c>
      <c r="E2095">
        <v>278.14000000000004</v>
      </c>
    </row>
    <row r="2096" spans="1:5" x14ac:dyDescent="0.25">
      <c r="A2096" t="s">
        <v>499</v>
      </c>
      <c r="B2096" t="s">
        <v>288</v>
      </c>
      <c r="C2096" t="s">
        <v>5</v>
      </c>
      <c r="D2096" t="s">
        <v>24</v>
      </c>
      <c r="E2096">
        <v>100.29</v>
      </c>
    </row>
    <row r="2097" spans="1:5" x14ac:dyDescent="0.25">
      <c r="A2097" t="s">
        <v>499</v>
      </c>
      <c r="B2097" t="s">
        <v>16</v>
      </c>
      <c r="C2097" t="s">
        <v>19</v>
      </c>
      <c r="D2097" t="s">
        <v>45</v>
      </c>
      <c r="E2097">
        <v>2030250</v>
      </c>
    </row>
    <row r="2098" spans="1:5" x14ac:dyDescent="0.25">
      <c r="A2098" t="s">
        <v>499</v>
      </c>
      <c r="B2098" t="s">
        <v>285</v>
      </c>
      <c r="C2098" t="s">
        <v>19</v>
      </c>
      <c r="D2098" t="s">
        <v>45</v>
      </c>
      <c r="E2098">
        <v>1870221</v>
      </c>
    </row>
    <row r="2099" spans="1:5" x14ac:dyDescent="0.25">
      <c r="A2099" t="s">
        <v>499</v>
      </c>
      <c r="B2099" t="s">
        <v>288</v>
      </c>
      <c r="C2099" t="s">
        <v>19</v>
      </c>
      <c r="D2099" t="s">
        <v>45</v>
      </c>
      <c r="E2099">
        <v>1838572</v>
      </c>
    </row>
    <row r="2100" spans="1:5" x14ac:dyDescent="0.25">
      <c r="A2100" t="s">
        <v>499</v>
      </c>
      <c r="B2100" t="s">
        <v>16</v>
      </c>
      <c r="C2100" t="s">
        <v>19</v>
      </c>
      <c r="D2100" t="s">
        <v>46</v>
      </c>
      <c r="E2100">
        <v>37629</v>
      </c>
    </row>
    <row r="2101" spans="1:5" x14ac:dyDescent="0.25">
      <c r="A2101" t="s">
        <v>499</v>
      </c>
      <c r="B2101" t="s">
        <v>285</v>
      </c>
      <c r="C2101" t="s">
        <v>19</v>
      </c>
      <c r="D2101" t="s">
        <v>46</v>
      </c>
      <c r="E2101">
        <v>34267</v>
      </c>
    </row>
    <row r="2102" spans="1:5" x14ac:dyDescent="0.25">
      <c r="A2102" t="s">
        <v>499</v>
      </c>
      <c r="B2102" t="s">
        <v>288</v>
      </c>
      <c r="C2102" t="s">
        <v>19</v>
      </c>
      <c r="D2102" t="s">
        <v>46</v>
      </c>
      <c r="E2102">
        <v>35042</v>
      </c>
    </row>
    <row r="2103" spans="1:5" x14ac:dyDescent="0.25">
      <c r="A2103" t="s">
        <v>572</v>
      </c>
      <c r="B2103" t="s">
        <v>16</v>
      </c>
      <c r="C2103" t="s">
        <v>4</v>
      </c>
      <c r="D2103" t="s">
        <v>226</v>
      </c>
      <c r="E2103">
        <v>432304</v>
      </c>
    </row>
    <row r="2104" spans="1:5" x14ac:dyDescent="0.25">
      <c r="A2104" t="s">
        <v>572</v>
      </c>
      <c r="B2104" t="s">
        <v>16</v>
      </c>
      <c r="C2104" t="s">
        <v>5</v>
      </c>
      <c r="D2104" t="s">
        <v>226</v>
      </c>
      <c r="E2104">
        <v>152369</v>
      </c>
    </row>
    <row r="2105" spans="1:5" x14ac:dyDescent="0.25">
      <c r="A2105" t="s">
        <v>572</v>
      </c>
      <c r="B2105" t="s">
        <v>16</v>
      </c>
      <c r="D2105" t="s">
        <v>226</v>
      </c>
      <c r="E2105">
        <v>674</v>
      </c>
    </row>
    <row r="2106" spans="1:5" x14ac:dyDescent="0.25">
      <c r="A2106" t="s">
        <v>572</v>
      </c>
      <c r="B2106" t="s">
        <v>288</v>
      </c>
      <c r="C2106" t="s">
        <v>4</v>
      </c>
      <c r="D2106" t="s">
        <v>226</v>
      </c>
      <c r="E2106">
        <v>392228</v>
      </c>
    </row>
    <row r="2107" spans="1:5" x14ac:dyDescent="0.25">
      <c r="A2107" t="s">
        <v>572</v>
      </c>
      <c r="B2107" t="s">
        <v>288</v>
      </c>
      <c r="C2107" t="s">
        <v>5</v>
      </c>
      <c r="D2107" t="s">
        <v>226</v>
      </c>
      <c r="E2107">
        <v>139389</v>
      </c>
    </row>
    <row r="2108" spans="1:5" x14ac:dyDescent="0.25">
      <c r="A2108" t="s">
        <v>572</v>
      </c>
      <c r="B2108" t="s">
        <v>288</v>
      </c>
      <c r="C2108" t="s">
        <v>18</v>
      </c>
      <c r="D2108" t="s">
        <v>226</v>
      </c>
      <c r="E2108">
        <v>12173</v>
      </c>
    </row>
    <row r="2109" spans="1:5" x14ac:dyDescent="0.25">
      <c r="A2109" t="s">
        <v>572</v>
      </c>
      <c r="B2109" t="s">
        <v>285</v>
      </c>
      <c r="C2109" t="s">
        <v>4</v>
      </c>
      <c r="D2109" t="s">
        <v>226</v>
      </c>
      <c r="E2109">
        <v>201637</v>
      </c>
    </row>
    <row r="2110" spans="1:5" x14ac:dyDescent="0.25">
      <c r="A2110" t="s">
        <v>572</v>
      </c>
      <c r="B2110" t="s">
        <v>285</v>
      </c>
      <c r="D2110" t="s">
        <v>226</v>
      </c>
      <c r="E2110">
        <v>114713</v>
      </c>
    </row>
    <row r="2111" spans="1:5" x14ac:dyDescent="0.25">
      <c r="A2111" t="s">
        <v>572</v>
      </c>
      <c r="B2111" t="s">
        <v>285</v>
      </c>
      <c r="C2111" t="s">
        <v>18</v>
      </c>
      <c r="D2111" t="s">
        <v>226</v>
      </c>
      <c r="E2111">
        <v>1925</v>
      </c>
    </row>
    <row r="2112" spans="1:5" x14ac:dyDescent="0.25">
      <c r="A2112" t="s">
        <v>572</v>
      </c>
      <c r="B2112" t="s">
        <v>285</v>
      </c>
      <c r="C2112" t="s">
        <v>5</v>
      </c>
      <c r="D2112" t="s">
        <v>226</v>
      </c>
      <c r="E2112">
        <v>47299</v>
      </c>
    </row>
    <row r="2113" spans="1:5" x14ac:dyDescent="0.25">
      <c r="A2113" t="s">
        <v>572</v>
      </c>
      <c r="B2113" t="s">
        <v>16</v>
      </c>
      <c r="C2113" t="s">
        <v>4</v>
      </c>
      <c r="D2113" t="s">
        <v>48</v>
      </c>
      <c r="E2113">
        <v>51409</v>
      </c>
    </row>
    <row r="2114" spans="1:5" x14ac:dyDescent="0.25">
      <c r="A2114" t="s">
        <v>572</v>
      </c>
      <c r="B2114" t="s">
        <v>16</v>
      </c>
      <c r="C2114" t="s">
        <v>5</v>
      </c>
      <c r="D2114" t="s">
        <v>48</v>
      </c>
      <c r="E2114">
        <v>16114</v>
      </c>
    </row>
    <row r="2115" spans="1:5" x14ac:dyDescent="0.25">
      <c r="A2115" t="s">
        <v>572</v>
      </c>
      <c r="B2115" t="s">
        <v>288</v>
      </c>
      <c r="C2115" t="s">
        <v>4</v>
      </c>
      <c r="D2115" t="s">
        <v>48</v>
      </c>
      <c r="E2115">
        <v>34119</v>
      </c>
    </row>
    <row r="2116" spans="1:5" x14ac:dyDescent="0.25">
      <c r="A2116" t="s">
        <v>572</v>
      </c>
      <c r="B2116" t="s">
        <v>288</v>
      </c>
      <c r="C2116" t="s">
        <v>18</v>
      </c>
      <c r="D2116" t="s">
        <v>48</v>
      </c>
      <c r="E2116">
        <v>899</v>
      </c>
    </row>
    <row r="2117" spans="1:5" x14ac:dyDescent="0.25">
      <c r="A2117" t="s">
        <v>572</v>
      </c>
      <c r="B2117" t="s">
        <v>288</v>
      </c>
      <c r="C2117" t="s">
        <v>5</v>
      </c>
      <c r="D2117" t="s">
        <v>48</v>
      </c>
      <c r="E2117">
        <v>223</v>
      </c>
    </row>
    <row r="2118" spans="1:5" x14ac:dyDescent="0.25">
      <c r="A2118" t="s">
        <v>572</v>
      </c>
      <c r="B2118" t="s">
        <v>285</v>
      </c>
      <c r="C2118" t="s">
        <v>4</v>
      </c>
      <c r="D2118" t="s">
        <v>48</v>
      </c>
      <c r="E2118">
        <v>62612</v>
      </c>
    </row>
    <row r="2119" spans="1:5" x14ac:dyDescent="0.25">
      <c r="A2119" t="s">
        <v>572</v>
      </c>
      <c r="B2119" t="s">
        <v>285</v>
      </c>
      <c r="C2119" t="s">
        <v>18</v>
      </c>
      <c r="D2119" t="s">
        <v>48</v>
      </c>
      <c r="E2119">
        <v>2729</v>
      </c>
    </row>
    <row r="2120" spans="1:5" x14ac:dyDescent="0.25">
      <c r="A2120" t="s">
        <v>572</v>
      </c>
      <c r="B2120" t="s">
        <v>285</v>
      </c>
      <c r="C2120" t="s">
        <v>5</v>
      </c>
      <c r="D2120" t="s">
        <v>48</v>
      </c>
      <c r="E2120">
        <v>47170</v>
      </c>
    </row>
    <row r="2121" spans="1:5" x14ac:dyDescent="0.25">
      <c r="A2121" t="s">
        <v>572</v>
      </c>
      <c r="B2121" t="s">
        <v>16</v>
      </c>
      <c r="C2121" t="s">
        <v>4</v>
      </c>
      <c r="D2121" t="s">
        <v>227</v>
      </c>
      <c r="E2121">
        <v>48839</v>
      </c>
    </row>
    <row r="2122" spans="1:5" x14ac:dyDescent="0.25">
      <c r="A2122" t="s">
        <v>572</v>
      </c>
      <c r="B2122" t="s">
        <v>16</v>
      </c>
      <c r="C2122" t="s">
        <v>5</v>
      </c>
      <c r="D2122" t="s">
        <v>227</v>
      </c>
      <c r="E2122">
        <v>16215</v>
      </c>
    </row>
    <row r="2123" spans="1:5" x14ac:dyDescent="0.25">
      <c r="A2123" t="s">
        <v>572</v>
      </c>
      <c r="B2123" t="s">
        <v>16</v>
      </c>
      <c r="C2123" t="s">
        <v>18</v>
      </c>
      <c r="D2123" t="s">
        <v>227</v>
      </c>
      <c r="E2123">
        <v>3223</v>
      </c>
    </row>
    <row r="2124" spans="1:5" x14ac:dyDescent="0.25">
      <c r="A2124" t="s">
        <v>572</v>
      </c>
      <c r="B2124" t="s">
        <v>288</v>
      </c>
      <c r="C2124" t="s">
        <v>5</v>
      </c>
      <c r="D2124" t="s">
        <v>227</v>
      </c>
      <c r="E2124">
        <v>35679</v>
      </c>
    </row>
    <row r="2125" spans="1:5" x14ac:dyDescent="0.25">
      <c r="A2125" t="s">
        <v>572</v>
      </c>
      <c r="B2125" t="s">
        <v>288</v>
      </c>
      <c r="C2125" t="s">
        <v>4</v>
      </c>
      <c r="D2125" t="s">
        <v>227</v>
      </c>
      <c r="E2125">
        <v>48235</v>
      </c>
    </row>
    <row r="2126" spans="1:5" x14ac:dyDescent="0.25">
      <c r="A2126" t="s">
        <v>572</v>
      </c>
      <c r="B2126" t="s">
        <v>288</v>
      </c>
      <c r="C2126" t="s">
        <v>18</v>
      </c>
      <c r="D2126" t="s">
        <v>227</v>
      </c>
      <c r="E2126">
        <v>4130</v>
      </c>
    </row>
    <row r="2127" spans="1:5" x14ac:dyDescent="0.25">
      <c r="A2127" t="s">
        <v>572</v>
      </c>
      <c r="B2127" t="s">
        <v>285</v>
      </c>
      <c r="C2127" t="s">
        <v>4</v>
      </c>
      <c r="D2127" t="s">
        <v>227</v>
      </c>
      <c r="E2127">
        <v>50381</v>
      </c>
    </row>
    <row r="2128" spans="1:5" x14ac:dyDescent="0.25">
      <c r="A2128" t="s">
        <v>572</v>
      </c>
      <c r="B2128" t="s">
        <v>285</v>
      </c>
      <c r="C2128" t="s">
        <v>5</v>
      </c>
      <c r="D2128" t="s">
        <v>227</v>
      </c>
      <c r="E2128">
        <v>32360</v>
      </c>
    </row>
    <row r="2129" spans="1:5" x14ac:dyDescent="0.25">
      <c r="A2129" t="s">
        <v>572</v>
      </c>
      <c r="B2129" t="s">
        <v>285</v>
      </c>
      <c r="C2129" t="s">
        <v>18</v>
      </c>
      <c r="D2129" t="s">
        <v>227</v>
      </c>
      <c r="E2129">
        <v>3179</v>
      </c>
    </row>
    <row r="2130" spans="1:5" x14ac:dyDescent="0.25">
      <c r="A2130" t="s">
        <v>572</v>
      </c>
      <c r="B2130" t="s">
        <v>288</v>
      </c>
      <c r="C2130" t="s">
        <v>5</v>
      </c>
      <c r="D2130" t="s">
        <v>290</v>
      </c>
      <c r="E2130">
        <v>57849</v>
      </c>
    </row>
    <row r="2131" spans="1:5" x14ac:dyDescent="0.25">
      <c r="A2131" t="s">
        <v>572</v>
      </c>
      <c r="B2131" t="s">
        <v>288</v>
      </c>
      <c r="C2131" t="s">
        <v>4</v>
      </c>
      <c r="D2131" t="s">
        <v>290</v>
      </c>
      <c r="E2131">
        <v>35403</v>
      </c>
    </row>
    <row r="2132" spans="1:5" x14ac:dyDescent="0.25">
      <c r="A2132" t="s">
        <v>572</v>
      </c>
      <c r="B2132" t="s">
        <v>288</v>
      </c>
      <c r="C2132" t="s">
        <v>18</v>
      </c>
      <c r="D2132" t="s">
        <v>290</v>
      </c>
      <c r="E2132">
        <v>3373</v>
      </c>
    </row>
    <row r="2133" spans="1:5" x14ac:dyDescent="0.25">
      <c r="A2133" t="s">
        <v>572</v>
      </c>
      <c r="B2133" t="s">
        <v>285</v>
      </c>
      <c r="C2133" t="s">
        <v>4</v>
      </c>
      <c r="D2133" t="s">
        <v>290</v>
      </c>
      <c r="E2133">
        <v>15903</v>
      </c>
    </row>
    <row r="2134" spans="1:5" x14ac:dyDescent="0.25">
      <c r="A2134" t="s">
        <v>572</v>
      </c>
      <c r="B2134" t="s">
        <v>16</v>
      </c>
      <c r="C2134" t="s">
        <v>4</v>
      </c>
      <c r="D2134" t="s">
        <v>49</v>
      </c>
      <c r="E2134">
        <v>58074</v>
      </c>
    </row>
    <row r="2135" spans="1:5" x14ac:dyDescent="0.25">
      <c r="A2135" t="s">
        <v>572</v>
      </c>
      <c r="B2135" t="s">
        <v>16</v>
      </c>
      <c r="C2135" t="s">
        <v>5</v>
      </c>
      <c r="D2135" t="s">
        <v>49</v>
      </c>
      <c r="E2135">
        <v>36938</v>
      </c>
    </row>
    <row r="2136" spans="1:5" x14ac:dyDescent="0.25">
      <c r="A2136" t="s">
        <v>572</v>
      </c>
      <c r="B2136" t="s">
        <v>16</v>
      </c>
      <c r="C2136" t="s">
        <v>18</v>
      </c>
      <c r="D2136" t="s">
        <v>49</v>
      </c>
      <c r="E2136">
        <v>5430</v>
      </c>
    </row>
    <row r="2137" spans="1:5" x14ac:dyDescent="0.25">
      <c r="A2137" t="s">
        <v>572</v>
      </c>
      <c r="B2137" t="s">
        <v>288</v>
      </c>
      <c r="C2137" t="s">
        <v>4</v>
      </c>
      <c r="D2137" t="s">
        <v>49</v>
      </c>
      <c r="E2137">
        <v>69950</v>
      </c>
    </row>
    <row r="2138" spans="1:5" x14ac:dyDescent="0.25">
      <c r="A2138" t="s">
        <v>572</v>
      </c>
      <c r="B2138" t="s">
        <v>288</v>
      </c>
      <c r="C2138" t="s">
        <v>5</v>
      </c>
      <c r="D2138" t="s">
        <v>49</v>
      </c>
      <c r="E2138">
        <v>36206</v>
      </c>
    </row>
    <row r="2139" spans="1:5" x14ac:dyDescent="0.25">
      <c r="A2139" t="s">
        <v>572</v>
      </c>
      <c r="B2139" t="s">
        <v>288</v>
      </c>
      <c r="C2139" t="s">
        <v>18</v>
      </c>
      <c r="D2139" t="s">
        <v>49</v>
      </c>
      <c r="E2139">
        <v>2100</v>
      </c>
    </row>
    <row r="2140" spans="1:5" x14ac:dyDescent="0.25">
      <c r="A2140" t="s">
        <v>572</v>
      </c>
      <c r="B2140" t="s">
        <v>285</v>
      </c>
      <c r="C2140" t="s">
        <v>4</v>
      </c>
      <c r="D2140" t="s">
        <v>49</v>
      </c>
      <c r="E2140">
        <v>53221</v>
      </c>
    </row>
    <row r="2141" spans="1:5" x14ac:dyDescent="0.25">
      <c r="A2141" t="s">
        <v>572</v>
      </c>
      <c r="B2141" t="s">
        <v>285</v>
      </c>
      <c r="C2141" t="s">
        <v>18</v>
      </c>
      <c r="D2141" t="s">
        <v>49</v>
      </c>
      <c r="E2141">
        <v>5503</v>
      </c>
    </row>
    <row r="2142" spans="1:5" x14ac:dyDescent="0.25">
      <c r="A2142" t="s">
        <v>572</v>
      </c>
      <c r="B2142" t="s">
        <v>285</v>
      </c>
      <c r="C2142" t="s">
        <v>5</v>
      </c>
      <c r="D2142" t="s">
        <v>49</v>
      </c>
      <c r="E2142">
        <v>86639</v>
      </c>
    </row>
    <row r="2143" spans="1:5" x14ac:dyDescent="0.25">
      <c r="A2143" t="s">
        <v>572</v>
      </c>
      <c r="B2143" t="s">
        <v>16</v>
      </c>
      <c r="C2143" t="s">
        <v>4</v>
      </c>
      <c r="D2143" t="s">
        <v>228</v>
      </c>
      <c r="E2143">
        <v>35673</v>
      </c>
    </row>
    <row r="2144" spans="1:5" x14ac:dyDescent="0.25">
      <c r="A2144" t="s">
        <v>572</v>
      </c>
      <c r="B2144" t="s">
        <v>288</v>
      </c>
      <c r="C2144" t="s">
        <v>18</v>
      </c>
      <c r="D2144" t="s">
        <v>228</v>
      </c>
      <c r="E2144">
        <v>2628</v>
      </c>
    </row>
    <row r="2145" spans="1:5" x14ac:dyDescent="0.25">
      <c r="A2145" t="s">
        <v>572</v>
      </c>
      <c r="B2145" t="s">
        <v>288</v>
      </c>
      <c r="C2145" t="s">
        <v>4</v>
      </c>
      <c r="D2145" t="s">
        <v>228</v>
      </c>
      <c r="E2145">
        <v>7261</v>
      </c>
    </row>
    <row r="2146" spans="1:5" x14ac:dyDescent="0.25">
      <c r="A2146" t="s">
        <v>572</v>
      </c>
      <c r="B2146" t="s">
        <v>288</v>
      </c>
      <c r="C2146" t="s">
        <v>5</v>
      </c>
      <c r="D2146" t="s">
        <v>228</v>
      </c>
      <c r="E2146">
        <v>6065</v>
      </c>
    </row>
    <row r="2147" spans="1:5" x14ac:dyDescent="0.25">
      <c r="A2147" t="s">
        <v>572</v>
      </c>
      <c r="B2147" t="s">
        <v>285</v>
      </c>
      <c r="C2147" t="s">
        <v>4</v>
      </c>
      <c r="D2147" t="s">
        <v>228</v>
      </c>
      <c r="E2147">
        <v>45915</v>
      </c>
    </row>
    <row r="2148" spans="1:5" x14ac:dyDescent="0.25">
      <c r="A2148" t="s">
        <v>572</v>
      </c>
      <c r="B2148" t="s">
        <v>285</v>
      </c>
      <c r="C2148" t="s">
        <v>18</v>
      </c>
      <c r="D2148" t="s">
        <v>228</v>
      </c>
      <c r="E2148">
        <v>2753</v>
      </c>
    </row>
    <row r="2149" spans="1:5" x14ac:dyDescent="0.25">
      <c r="A2149" t="s">
        <v>572</v>
      </c>
      <c r="B2149" t="s">
        <v>285</v>
      </c>
      <c r="C2149" t="s">
        <v>5</v>
      </c>
      <c r="D2149" t="s">
        <v>228</v>
      </c>
      <c r="E2149">
        <v>18802</v>
      </c>
    </row>
    <row r="2150" spans="1:5" x14ac:dyDescent="0.25">
      <c r="A2150" t="s">
        <v>572</v>
      </c>
      <c r="B2150" t="s">
        <v>16</v>
      </c>
      <c r="C2150" t="s">
        <v>4</v>
      </c>
      <c r="D2150" t="s">
        <v>229</v>
      </c>
      <c r="E2150">
        <v>55718</v>
      </c>
    </row>
    <row r="2151" spans="1:5" x14ac:dyDescent="0.25">
      <c r="A2151" t="s">
        <v>572</v>
      </c>
      <c r="B2151" t="s">
        <v>16</v>
      </c>
      <c r="C2151" t="s">
        <v>18</v>
      </c>
      <c r="D2151" t="s">
        <v>229</v>
      </c>
      <c r="E2151">
        <v>4852</v>
      </c>
    </row>
    <row r="2152" spans="1:5" x14ac:dyDescent="0.25">
      <c r="A2152" t="s">
        <v>572</v>
      </c>
      <c r="B2152" t="s">
        <v>16</v>
      </c>
      <c r="C2152" t="s">
        <v>5</v>
      </c>
      <c r="D2152" t="s">
        <v>229</v>
      </c>
      <c r="E2152">
        <v>27897</v>
      </c>
    </row>
    <row r="2153" spans="1:5" x14ac:dyDescent="0.25">
      <c r="A2153" t="s">
        <v>572</v>
      </c>
      <c r="B2153" t="s">
        <v>288</v>
      </c>
      <c r="C2153" t="s">
        <v>4</v>
      </c>
      <c r="D2153" t="s">
        <v>229</v>
      </c>
      <c r="E2153">
        <v>48246</v>
      </c>
    </row>
    <row r="2154" spans="1:5" x14ac:dyDescent="0.25">
      <c r="A2154" t="s">
        <v>572</v>
      </c>
      <c r="B2154" t="s">
        <v>288</v>
      </c>
      <c r="C2154" t="s">
        <v>5</v>
      </c>
      <c r="D2154" t="s">
        <v>229</v>
      </c>
      <c r="E2154">
        <v>42171</v>
      </c>
    </row>
    <row r="2155" spans="1:5" x14ac:dyDescent="0.25">
      <c r="A2155" t="s">
        <v>572</v>
      </c>
      <c r="B2155" t="s">
        <v>285</v>
      </c>
      <c r="C2155" t="s">
        <v>4</v>
      </c>
      <c r="D2155" t="s">
        <v>229</v>
      </c>
      <c r="E2155">
        <v>61441</v>
      </c>
    </row>
    <row r="2156" spans="1:5" x14ac:dyDescent="0.25">
      <c r="A2156" t="s">
        <v>572</v>
      </c>
      <c r="B2156" t="s">
        <v>285</v>
      </c>
      <c r="C2156" t="s">
        <v>18</v>
      </c>
      <c r="D2156" t="s">
        <v>229</v>
      </c>
      <c r="E2156">
        <v>5031</v>
      </c>
    </row>
    <row r="2157" spans="1:5" x14ac:dyDescent="0.25">
      <c r="A2157" t="s">
        <v>572</v>
      </c>
      <c r="B2157" t="s">
        <v>285</v>
      </c>
      <c r="C2157" t="s">
        <v>5</v>
      </c>
      <c r="D2157" t="s">
        <v>229</v>
      </c>
      <c r="E2157">
        <v>76341</v>
      </c>
    </row>
    <row r="2158" spans="1:5" x14ac:dyDescent="0.25">
      <c r="A2158" t="s">
        <v>572</v>
      </c>
      <c r="B2158" t="s">
        <v>288</v>
      </c>
      <c r="C2158" t="s">
        <v>5</v>
      </c>
      <c r="D2158" t="s">
        <v>506</v>
      </c>
      <c r="E2158">
        <v>455</v>
      </c>
    </row>
    <row r="2159" spans="1:5" x14ac:dyDescent="0.25">
      <c r="A2159" t="s">
        <v>572</v>
      </c>
      <c r="B2159" t="s">
        <v>16</v>
      </c>
      <c r="C2159" t="s">
        <v>5</v>
      </c>
      <c r="D2159" t="s">
        <v>50</v>
      </c>
      <c r="E2159">
        <v>18424</v>
      </c>
    </row>
    <row r="2160" spans="1:5" x14ac:dyDescent="0.25">
      <c r="A2160" t="s">
        <v>572</v>
      </c>
      <c r="B2160" t="s">
        <v>16</v>
      </c>
      <c r="C2160" t="s">
        <v>18</v>
      </c>
      <c r="D2160" t="s">
        <v>50</v>
      </c>
      <c r="E2160">
        <v>4785</v>
      </c>
    </row>
    <row r="2161" spans="1:5" x14ac:dyDescent="0.25">
      <c r="A2161" t="s">
        <v>572</v>
      </c>
      <c r="B2161" t="s">
        <v>285</v>
      </c>
      <c r="C2161" t="s">
        <v>4</v>
      </c>
      <c r="D2161" t="s">
        <v>50</v>
      </c>
      <c r="E2161">
        <v>1475</v>
      </c>
    </row>
    <row r="2162" spans="1:5" x14ac:dyDescent="0.25">
      <c r="A2162" t="s">
        <v>572</v>
      </c>
      <c r="B2162" t="s">
        <v>285</v>
      </c>
      <c r="C2162" t="s">
        <v>5</v>
      </c>
      <c r="D2162" t="s">
        <v>50</v>
      </c>
      <c r="E2162">
        <v>148</v>
      </c>
    </row>
    <row r="2163" spans="1:5" x14ac:dyDescent="0.25">
      <c r="A2163" t="s">
        <v>572</v>
      </c>
      <c r="B2163" t="s">
        <v>285</v>
      </c>
      <c r="C2163" t="s">
        <v>18</v>
      </c>
      <c r="D2163" t="s">
        <v>50</v>
      </c>
      <c r="E2163">
        <v>138</v>
      </c>
    </row>
    <row r="2164" spans="1:5" x14ac:dyDescent="0.25">
      <c r="A2164" t="s">
        <v>572</v>
      </c>
      <c r="B2164" t="s">
        <v>16</v>
      </c>
      <c r="C2164" t="s">
        <v>4</v>
      </c>
      <c r="D2164" t="s">
        <v>59</v>
      </c>
      <c r="E2164" t="s">
        <v>573</v>
      </c>
    </row>
    <row r="2165" spans="1:5" x14ac:dyDescent="0.25">
      <c r="A2165" t="s">
        <v>572</v>
      </c>
      <c r="B2165" t="s">
        <v>16</v>
      </c>
      <c r="C2165" t="s">
        <v>5</v>
      </c>
      <c r="D2165" t="s">
        <v>59</v>
      </c>
      <c r="E2165" t="s">
        <v>578</v>
      </c>
    </row>
    <row r="2166" spans="1:5" x14ac:dyDescent="0.25">
      <c r="A2166" t="s">
        <v>572</v>
      </c>
      <c r="B2166" t="s">
        <v>16</v>
      </c>
      <c r="C2166" t="s">
        <v>18</v>
      </c>
      <c r="D2166" t="s">
        <v>59</v>
      </c>
      <c r="E2166" t="s">
        <v>583</v>
      </c>
    </row>
    <row r="2167" spans="1:5" x14ac:dyDescent="0.25">
      <c r="A2167" t="s">
        <v>572</v>
      </c>
      <c r="B2167" t="s">
        <v>16</v>
      </c>
      <c r="D2167" t="s">
        <v>59</v>
      </c>
      <c r="E2167" t="s">
        <v>587</v>
      </c>
    </row>
    <row r="2168" spans="1:5" x14ac:dyDescent="0.25">
      <c r="A2168" t="s">
        <v>572</v>
      </c>
      <c r="B2168" t="s">
        <v>288</v>
      </c>
      <c r="C2168" t="s">
        <v>5</v>
      </c>
      <c r="D2168" t="s">
        <v>59</v>
      </c>
      <c r="E2168" t="s">
        <v>588</v>
      </c>
    </row>
    <row r="2169" spans="1:5" x14ac:dyDescent="0.25">
      <c r="A2169" t="s">
        <v>572</v>
      </c>
      <c r="B2169" t="s">
        <v>288</v>
      </c>
      <c r="C2169" t="s">
        <v>4</v>
      </c>
      <c r="D2169" t="s">
        <v>59</v>
      </c>
      <c r="E2169" t="s">
        <v>593</v>
      </c>
    </row>
    <row r="2170" spans="1:5" x14ac:dyDescent="0.25">
      <c r="A2170" t="s">
        <v>572</v>
      </c>
      <c r="B2170" t="s">
        <v>288</v>
      </c>
      <c r="C2170" t="s">
        <v>18</v>
      </c>
      <c r="D2170" t="s">
        <v>59</v>
      </c>
      <c r="E2170" t="s">
        <v>598</v>
      </c>
    </row>
    <row r="2171" spans="1:5" x14ac:dyDescent="0.25">
      <c r="A2171" t="s">
        <v>572</v>
      </c>
      <c r="B2171" t="s">
        <v>285</v>
      </c>
      <c r="C2171" t="s">
        <v>4</v>
      </c>
      <c r="D2171" t="s">
        <v>59</v>
      </c>
      <c r="E2171" t="s">
        <v>602</v>
      </c>
    </row>
    <row r="2172" spans="1:5" x14ac:dyDescent="0.25">
      <c r="A2172" t="s">
        <v>572</v>
      </c>
      <c r="B2172" t="s">
        <v>285</v>
      </c>
      <c r="D2172" t="s">
        <v>59</v>
      </c>
      <c r="E2172" t="s">
        <v>607</v>
      </c>
    </row>
    <row r="2173" spans="1:5" x14ac:dyDescent="0.25">
      <c r="A2173" t="s">
        <v>572</v>
      </c>
      <c r="B2173" t="s">
        <v>285</v>
      </c>
      <c r="C2173" t="s">
        <v>5</v>
      </c>
      <c r="D2173" t="s">
        <v>59</v>
      </c>
      <c r="E2173" t="s">
        <v>612</v>
      </c>
    </row>
    <row r="2174" spans="1:5" x14ac:dyDescent="0.25">
      <c r="A2174" t="s">
        <v>572</v>
      </c>
      <c r="B2174" t="s">
        <v>285</v>
      </c>
      <c r="C2174" t="s">
        <v>18</v>
      </c>
      <c r="D2174" t="s">
        <v>59</v>
      </c>
      <c r="E2174" t="s">
        <v>617</v>
      </c>
    </row>
    <row r="2175" spans="1:5" x14ac:dyDescent="0.25">
      <c r="A2175" t="s">
        <v>572</v>
      </c>
      <c r="B2175" t="s">
        <v>16</v>
      </c>
      <c r="C2175" t="s">
        <v>4</v>
      </c>
      <c r="D2175" t="s">
        <v>63</v>
      </c>
      <c r="E2175" t="s">
        <v>574</v>
      </c>
    </row>
    <row r="2176" spans="1:5" x14ac:dyDescent="0.25">
      <c r="A2176" t="s">
        <v>572</v>
      </c>
      <c r="B2176" t="s">
        <v>16</v>
      </c>
      <c r="C2176" t="s">
        <v>5</v>
      </c>
      <c r="D2176" t="s">
        <v>63</v>
      </c>
      <c r="E2176" t="s">
        <v>579</v>
      </c>
    </row>
    <row r="2177" spans="1:5" x14ac:dyDescent="0.25">
      <c r="A2177" t="s">
        <v>572</v>
      </c>
      <c r="B2177" t="s">
        <v>16</v>
      </c>
      <c r="C2177" t="s">
        <v>18</v>
      </c>
      <c r="D2177" t="s">
        <v>63</v>
      </c>
      <c r="E2177" t="s">
        <v>584</v>
      </c>
    </row>
    <row r="2178" spans="1:5" x14ac:dyDescent="0.25">
      <c r="A2178" t="s">
        <v>572</v>
      </c>
      <c r="B2178" t="s">
        <v>16</v>
      </c>
      <c r="D2178" t="s">
        <v>63</v>
      </c>
      <c r="E2178" t="s">
        <v>500</v>
      </c>
    </row>
    <row r="2179" spans="1:5" x14ac:dyDescent="0.25">
      <c r="A2179" t="s">
        <v>572</v>
      </c>
      <c r="B2179" t="s">
        <v>288</v>
      </c>
      <c r="C2179" t="s">
        <v>5</v>
      </c>
      <c r="D2179" t="s">
        <v>63</v>
      </c>
      <c r="E2179" t="s">
        <v>589</v>
      </c>
    </row>
    <row r="2180" spans="1:5" x14ac:dyDescent="0.25">
      <c r="A2180" t="s">
        <v>572</v>
      </c>
      <c r="B2180" t="s">
        <v>288</v>
      </c>
      <c r="C2180" t="s">
        <v>4</v>
      </c>
      <c r="D2180" t="s">
        <v>63</v>
      </c>
      <c r="E2180" t="s">
        <v>594</v>
      </c>
    </row>
    <row r="2181" spans="1:5" x14ac:dyDescent="0.25">
      <c r="A2181" t="s">
        <v>572</v>
      </c>
      <c r="B2181" t="s">
        <v>288</v>
      </c>
      <c r="C2181" t="s">
        <v>18</v>
      </c>
      <c r="D2181" t="s">
        <v>63</v>
      </c>
      <c r="E2181" t="s">
        <v>599</v>
      </c>
    </row>
    <row r="2182" spans="1:5" x14ac:dyDescent="0.25">
      <c r="A2182" t="s">
        <v>572</v>
      </c>
      <c r="B2182" t="s">
        <v>285</v>
      </c>
      <c r="C2182" t="s">
        <v>4</v>
      </c>
      <c r="D2182" t="s">
        <v>63</v>
      </c>
      <c r="E2182" t="s">
        <v>603</v>
      </c>
    </row>
    <row r="2183" spans="1:5" x14ac:dyDescent="0.25">
      <c r="A2183" t="s">
        <v>572</v>
      </c>
      <c r="B2183" t="s">
        <v>285</v>
      </c>
      <c r="D2183" t="s">
        <v>63</v>
      </c>
      <c r="E2183" t="s">
        <v>608</v>
      </c>
    </row>
    <row r="2184" spans="1:5" x14ac:dyDescent="0.25">
      <c r="A2184" t="s">
        <v>572</v>
      </c>
      <c r="B2184" t="s">
        <v>285</v>
      </c>
      <c r="C2184" t="s">
        <v>5</v>
      </c>
      <c r="D2184" t="s">
        <v>63</v>
      </c>
      <c r="E2184" t="s">
        <v>613</v>
      </c>
    </row>
    <row r="2185" spans="1:5" x14ac:dyDescent="0.25">
      <c r="A2185" t="s">
        <v>572</v>
      </c>
      <c r="B2185" t="s">
        <v>285</v>
      </c>
      <c r="C2185" t="s">
        <v>18</v>
      </c>
      <c r="D2185" t="s">
        <v>63</v>
      </c>
      <c r="E2185" t="s">
        <v>618</v>
      </c>
    </row>
    <row r="2186" spans="1:5" x14ac:dyDescent="0.25">
      <c r="A2186" t="s">
        <v>572</v>
      </c>
      <c r="B2186" t="s">
        <v>16</v>
      </c>
      <c r="C2186" t="s">
        <v>4</v>
      </c>
      <c r="D2186" t="s">
        <v>67</v>
      </c>
      <c r="E2186" t="s">
        <v>575</v>
      </c>
    </row>
    <row r="2187" spans="1:5" x14ac:dyDescent="0.25">
      <c r="A2187" t="s">
        <v>572</v>
      </c>
      <c r="B2187" t="s">
        <v>16</v>
      </c>
      <c r="C2187" t="s">
        <v>5</v>
      </c>
      <c r="D2187" t="s">
        <v>67</v>
      </c>
      <c r="E2187" t="s">
        <v>580</v>
      </c>
    </row>
    <row r="2188" spans="1:5" x14ac:dyDescent="0.25">
      <c r="A2188" t="s">
        <v>572</v>
      </c>
      <c r="B2188" t="s">
        <v>16</v>
      </c>
      <c r="C2188" t="s">
        <v>18</v>
      </c>
      <c r="D2188" t="s">
        <v>67</v>
      </c>
      <c r="E2188" t="s">
        <v>585</v>
      </c>
    </row>
    <row r="2189" spans="1:5" x14ac:dyDescent="0.25">
      <c r="A2189" t="s">
        <v>572</v>
      </c>
      <c r="B2189" t="s">
        <v>288</v>
      </c>
      <c r="C2189" t="s">
        <v>5</v>
      </c>
      <c r="D2189" t="s">
        <v>67</v>
      </c>
      <c r="E2189" t="s">
        <v>590</v>
      </c>
    </row>
    <row r="2190" spans="1:5" x14ac:dyDescent="0.25">
      <c r="A2190" t="s">
        <v>572</v>
      </c>
      <c r="B2190" t="s">
        <v>288</v>
      </c>
      <c r="C2190" t="s">
        <v>4</v>
      </c>
      <c r="D2190" t="s">
        <v>67</v>
      </c>
      <c r="E2190" t="s">
        <v>595</v>
      </c>
    </row>
    <row r="2191" spans="1:5" x14ac:dyDescent="0.25">
      <c r="A2191" t="s">
        <v>572</v>
      </c>
      <c r="B2191" t="s">
        <v>288</v>
      </c>
      <c r="C2191" t="s">
        <v>18</v>
      </c>
      <c r="D2191" t="s">
        <v>67</v>
      </c>
      <c r="E2191" t="s">
        <v>600</v>
      </c>
    </row>
    <row r="2192" spans="1:5" x14ac:dyDescent="0.25">
      <c r="A2192" t="s">
        <v>572</v>
      </c>
      <c r="B2192" t="s">
        <v>285</v>
      </c>
      <c r="C2192" t="s">
        <v>4</v>
      </c>
      <c r="D2192" t="s">
        <v>67</v>
      </c>
      <c r="E2192" t="s">
        <v>604</v>
      </c>
    </row>
    <row r="2193" spans="1:5" x14ac:dyDescent="0.25">
      <c r="A2193" t="s">
        <v>572</v>
      </c>
      <c r="B2193" t="s">
        <v>285</v>
      </c>
      <c r="D2193" t="s">
        <v>67</v>
      </c>
      <c r="E2193" t="s">
        <v>609</v>
      </c>
    </row>
    <row r="2194" spans="1:5" x14ac:dyDescent="0.25">
      <c r="A2194" t="s">
        <v>572</v>
      </c>
      <c r="B2194" t="s">
        <v>285</v>
      </c>
      <c r="C2194" t="s">
        <v>5</v>
      </c>
      <c r="D2194" t="s">
        <v>67</v>
      </c>
      <c r="E2194" t="s">
        <v>614</v>
      </c>
    </row>
    <row r="2195" spans="1:5" x14ac:dyDescent="0.25">
      <c r="A2195" t="s">
        <v>572</v>
      </c>
      <c r="B2195" t="s">
        <v>285</v>
      </c>
      <c r="C2195" t="s">
        <v>18</v>
      </c>
      <c r="D2195" t="s">
        <v>67</v>
      </c>
      <c r="E2195" t="s">
        <v>619</v>
      </c>
    </row>
    <row r="2196" spans="1:5" x14ac:dyDescent="0.25">
      <c r="A2196" t="s">
        <v>572</v>
      </c>
      <c r="B2196" t="s">
        <v>16</v>
      </c>
      <c r="C2196" t="s">
        <v>4</v>
      </c>
      <c r="D2196" t="s">
        <v>233</v>
      </c>
      <c r="E2196" t="s">
        <v>576</v>
      </c>
    </row>
    <row r="2197" spans="1:5" x14ac:dyDescent="0.25">
      <c r="A2197" t="s">
        <v>572</v>
      </c>
      <c r="B2197" t="s">
        <v>16</v>
      </c>
      <c r="C2197" t="s">
        <v>5</v>
      </c>
      <c r="D2197" t="s">
        <v>233</v>
      </c>
      <c r="E2197" t="s">
        <v>581</v>
      </c>
    </row>
    <row r="2198" spans="1:5" x14ac:dyDescent="0.25">
      <c r="A2198" t="s">
        <v>572</v>
      </c>
      <c r="B2198" t="s">
        <v>16</v>
      </c>
      <c r="C2198" t="s">
        <v>18</v>
      </c>
      <c r="D2198" t="s">
        <v>233</v>
      </c>
      <c r="E2198" t="s">
        <v>586</v>
      </c>
    </row>
    <row r="2199" spans="1:5" x14ac:dyDescent="0.25">
      <c r="A2199" t="s">
        <v>572</v>
      </c>
      <c r="B2199" t="s">
        <v>288</v>
      </c>
      <c r="C2199" t="s">
        <v>5</v>
      </c>
      <c r="D2199" t="s">
        <v>233</v>
      </c>
      <c r="E2199" t="s">
        <v>591</v>
      </c>
    </row>
    <row r="2200" spans="1:5" x14ac:dyDescent="0.25">
      <c r="A2200" t="s">
        <v>572</v>
      </c>
      <c r="B2200" t="s">
        <v>288</v>
      </c>
      <c r="C2200" t="s">
        <v>4</v>
      </c>
      <c r="D2200" t="s">
        <v>233</v>
      </c>
      <c r="E2200" t="s">
        <v>596</v>
      </c>
    </row>
    <row r="2201" spans="1:5" x14ac:dyDescent="0.25">
      <c r="A2201" t="s">
        <v>572</v>
      </c>
      <c r="B2201" t="s">
        <v>288</v>
      </c>
      <c r="C2201" t="s">
        <v>18</v>
      </c>
      <c r="D2201" t="s">
        <v>233</v>
      </c>
      <c r="E2201" t="s">
        <v>601</v>
      </c>
    </row>
    <row r="2202" spans="1:5" x14ac:dyDescent="0.25">
      <c r="A2202" t="s">
        <v>572</v>
      </c>
      <c r="B2202" t="s">
        <v>285</v>
      </c>
      <c r="C2202" t="s">
        <v>4</v>
      </c>
      <c r="D2202" t="s">
        <v>233</v>
      </c>
      <c r="E2202" t="s">
        <v>605</v>
      </c>
    </row>
    <row r="2203" spans="1:5" x14ac:dyDescent="0.25">
      <c r="A2203" t="s">
        <v>572</v>
      </c>
      <c r="B2203" t="s">
        <v>285</v>
      </c>
      <c r="D2203" t="s">
        <v>233</v>
      </c>
      <c r="E2203" t="s">
        <v>610</v>
      </c>
    </row>
    <row r="2204" spans="1:5" x14ac:dyDescent="0.25">
      <c r="A2204" t="s">
        <v>572</v>
      </c>
      <c r="B2204" t="s">
        <v>285</v>
      </c>
      <c r="C2204" t="s">
        <v>5</v>
      </c>
      <c r="D2204" t="s">
        <v>233</v>
      </c>
      <c r="E2204" t="s">
        <v>615</v>
      </c>
    </row>
    <row r="2205" spans="1:5" x14ac:dyDescent="0.25">
      <c r="A2205" t="s">
        <v>572</v>
      </c>
      <c r="B2205" t="s">
        <v>285</v>
      </c>
      <c r="C2205" t="s">
        <v>18</v>
      </c>
      <c r="D2205" t="s">
        <v>233</v>
      </c>
      <c r="E2205" t="s">
        <v>620</v>
      </c>
    </row>
    <row r="2206" spans="1:5" x14ac:dyDescent="0.25">
      <c r="A2206" t="s">
        <v>572</v>
      </c>
      <c r="B2206" t="s">
        <v>16</v>
      </c>
      <c r="C2206" t="s">
        <v>4</v>
      </c>
      <c r="D2206" t="s">
        <v>239</v>
      </c>
      <c r="E2206" t="s">
        <v>577</v>
      </c>
    </row>
    <row r="2207" spans="1:5" x14ac:dyDescent="0.25">
      <c r="A2207" t="s">
        <v>572</v>
      </c>
      <c r="B2207" t="s">
        <v>16</v>
      </c>
      <c r="C2207" t="s">
        <v>5</v>
      </c>
      <c r="D2207" t="s">
        <v>239</v>
      </c>
      <c r="E2207" t="s">
        <v>582</v>
      </c>
    </row>
    <row r="2208" spans="1:5" x14ac:dyDescent="0.25">
      <c r="A2208" t="s">
        <v>572</v>
      </c>
      <c r="B2208" t="s">
        <v>288</v>
      </c>
      <c r="C2208" t="s">
        <v>5</v>
      </c>
      <c r="D2208" t="s">
        <v>239</v>
      </c>
      <c r="E2208" t="s">
        <v>592</v>
      </c>
    </row>
    <row r="2209" spans="1:5" x14ac:dyDescent="0.25">
      <c r="A2209" t="s">
        <v>572</v>
      </c>
      <c r="B2209" t="s">
        <v>288</v>
      </c>
      <c r="C2209" t="s">
        <v>4</v>
      </c>
      <c r="D2209" t="s">
        <v>239</v>
      </c>
      <c r="E2209" t="s">
        <v>597</v>
      </c>
    </row>
    <row r="2210" spans="1:5" x14ac:dyDescent="0.25">
      <c r="A2210" t="s">
        <v>572</v>
      </c>
      <c r="B2210" t="s">
        <v>285</v>
      </c>
      <c r="C2210" t="s">
        <v>4</v>
      </c>
      <c r="D2210" t="s">
        <v>239</v>
      </c>
      <c r="E2210" t="s">
        <v>606</v>
      </c>
    </row>
    <row r="2211" spans="1:5" x14ac:dyDescent="0.25">
      <c r="A2211" t="s">
        <v>572</v>
      </c>
      <c r="B2211" t="s">
        <v>285</v>
      </c>
      <c r="D2211" t="s">
        <v>239</v>
      </c>
      <c r="E2211" t="s">
        <v>611</v>
      </c>
    </row>
    <row r="2212" spans="1:5" x14ac:dyDescent="0.25">
      <c r="A2212" t="s">
        <v>572</v>
      </c>
      <c r="B2212" t="s">
        <v>285</v>
      </c>
      <c r="C2212" t="s">
        <v>5</v>
      </c>
      <c r="D2212" t="s">
        <v>239</v>
      </c>
      <c r="E2212" t="s">
        <v>616</v>
      </c>
    </row>
    <row r="2213" spans="1:5" x14ac:dyDescent="0.25">
      <c r="A2213" t="s">
        <v>572</v>
      </c>
      <c r="B2213" t="s">
        <v>16</v>
      </c>
      <c r="C2213" t="s">
        <v>4</v>
      </c>
      <c r="D2213" t="s">
        <v>17</v>
      </c>
      <c r="E2213">
        <v>561</v>
      </c>
    </row>
    <row r="2214" spans="1:5" x14ac:dyDescent="0.25">
      <c r="A2214" t="s">
        <v>572</v>
      </c>
      <c r="B2214" t="s">
        <v>16</v>
      </c>
      <c r="C2214" t="s">
        <v>5</v>
      </c>
      <c r="D2214" t="s">
        <v>17</v>
      </c>
      <c r="E2214">
        <v>12</v>
      </c>
    </row>
    <row r="2215" spans="1:5" x14ac:dyDescent="0.25">
      <c r="A2215" t="s">
        <v>572</v>
      </c>
      <c r="B2215" t="s">
        <v>16</v>
      </c>
      <c r="C2215" t="s">
        <v>18</v>
      </c>
      <c r="D2215" t="s">
        <v>17</v>
      </c>
      <c r="E2215">
        <v>4</v>
      </c>
    </row>
    <row r="2216" spans="1:5" x14ac:dyDescent="0.25">
      <c r="A2216" t="s">
        <v>572</v>
      </c>
      <c r="B2216" t="s">
        <v>16</v>
      </c>
      <c r="D2216" t="s">
        <v>17</v>
      </c>
      <c r="E2216">
        <v>0</v>
      </c>
    </row>
    <row r="2217" spans="1:5" x14ac:dyDescent="0.25">
      <c r="A2217" t="s">
        <v>572</v>
      </c>
      <c r="B2217" t="s">
        <v>288</v>
      </c>
      <c r="C2217" t="s">
        <v>4</v>
      </c>
      <c r="D2217" t="s">
        <v>17</v>
      </c>
      <c r="E2217">
        <v>30</v>
      </c>
    </row>
    <row r="2218" spans="1:5" x14ac:dyDescent="0.25">
      <c r="A2218" t="s">
        <v>572</v>
      </c>
      <c r="B2218" t="s">
        <v>288</v>
      </c>
      <c r="C2218" t="s">
        <v>5</v>
      </c>
      <c r="D2218" t="s">
        <v>17</v>
      </c>
      <c r="E2218">
        <v>40</v>
      </c>
    </row>
    <row r="2219" spans="1:5" x14ac:dyDescent="0.25">
      <c r="A2219" t="s">
        <v>572</v>
      </c>
      <c r="B2219" t="s">
        <v>288</v>
      </c>
      <c r="C2219" t="s">
        <v>18</v>
      </c>
      <c r="D2219" t="s">
        <v>17</v>
      </c>
      <c r="E2219">
        <v>1</v>
      </c>
    </row>
    <row r="2220" spans="1:5" x14ac:dyDescent="0.25">
      <c r="A2220" t="s">
        <v>572</v>
      </c>
      <c r="B2220" t="s">
        <v>288</v>
      </c>
      <c r="C2220" t="s">
        <v>19</v>
      </c>
      <c r="D2220" t="s">
        <v>17</v>
      </c>
      <c r="E2220">
        <v>0</v>
      </c>
    </row>
    <row r="2221" spans="1:5" x14ac:dyDescent="0.25">
      <c r="A2221" t="s">
        <v>572</v>
      </c>
      <c r="B2221" t="s">
        <v>285</v>
      </c>
      <c r="C2221" t="s">
        <v>4</v>
      </c>
      <c r="D2221" t="s">
        <v>17</v>
      </c>
      <c r="E2221">
        <v>21</v>
      </c>
    </row>
    <row r="2222" spans="1:5" x14ac:dyDescent="0.25">
      <c r="A2222" t="s">
        <v>572</v>
      </c>
      <c r="B2222" t="s">
        <v>288</v>
      </c>
      <c r="D2222" t="s">
        <v>17</v>
      </c>
      <c r="E2222">
        <v>0</v>
      </c>
    </row>
    <row r="2223" spans="1:5" x14ac:dyDescent="0.25">
      <c r="A2223" t="s">
        <v>572</v>
      </c>
      <c r="B2223" t="s">
        <v>285</v>
      </c>
      <c r="D2223" t="s">
        <v>17</v>
      </c>
      <c r="E2223">
        <v>1</v>
      </c>
    </row>
    <row r="2224" spans="1:5" x14ac:dyDescent="0.25">
      <c r="A2224" t="s">
        <v>572</v>
      </c>
      <c r="B2224" t="s">
        <v>285</v>
      </c>
      <c r="C2224" t="s">
        <v>5</v>
      </c>
      <c r="D2224" t="s">
        <v>17</v>
      </c>
      <c r="E2224">
        <v>107</v>
      </c>
    </row>
    <row r="2225" spans="1:5" x14ac:dyDescent="0.25">
      <c r="A2225" t="s">
        <v>572</v>
      </c>
      <c r="B2225" t="s">
        <v>285</v>
      </c>
      <c r="C2225" t="s">
        <v>18</v>
      </c>
      <c r="D2225" t="s">
        <v>17</v>
      </c>
      <c r="E2225">
        <v>47</v>
      </c>
    </row>
    <row r="2226" spans="1:5" x14ac:dyDescent="0.25">
      <c r="A2226" t="s">
        <v>572</v>
      </c>
      <c r="B2226" t="s">
        <v>285</v>
      </c>
      <c r="C2226" t="s">
        <v>4</v>
      </c>
      <c r="D2226" t="s">
        <v>505</v>
      </c>
      <c r="E2226">
        <v>1</v>
      </c>
    </row>
    <row r="2227" spans="1:5" x14ac:dyDescent="0.25">
      <c r="A2227" t="s">
        <v>572</v>
      </c>
      <c r="B2227" t="s">
        <v>16</v>
      </c>
      <c r="C2227" t="s">
        <v>4</v>
      </c>
      <c r="D2227" t="s">
        <v>503</v>
      </c>
      <c r="E2227">
        <v>0.86466165413533835</v>
      </c>
    </row>
    <row r="2228" spans="1:5" x14ac:dyDescent="0.25">
      <c r="A2228" t="s">
        <v>572</v>
      </c>
      <c r="B2228" t="s">
        <v>288</v>
      </c>
      <c r="C2228" t="s">
        <v>4</v>
      </c>
      <c r="D2228" t="s">
        <v>503</v>
      </c>
      <c r="E2228">
        <v>0.94736842105263153</v>
      </c>
    </row>
    <row r="2229" spans="1:5" x14ac:dyDescent="0.25">
      <c r="A2229" t="s">
        <v>572</v>
      </c>
      <c r="B2229" t="s">
        <v>285</v>
      </c>
      <c r="C2229" t="s">
        <v>4</v>
      </c>
      <c r="D2229" t="s">
        <v>503</v>
      </c>
      <c r="E2229">
        <v>0.86290322580645173</v>
      </c>
    </row>
    <row r="2230" spans="1:5" x14ac:dyDescent="0.25">
      <c r="A2230" t="s">
        <v>572</v>
      </c>
      <c r="B2230" t="s">
        <v>16</v>
      </c>
      <c r="C2230" t="s">
        <v>4</v>
      </c>
      <c r="D2230" t="s">
        <v>29</v>
      </c>
      <c r="E2230">
        <v>0.81896551724137934</v>
      </c>
    </row>
    <row r="2231" spans="1:5" x14ac:dyDescent="0.25">
      <c r="A2231" t="s">
        <v>572</v>
      </c>
      <c r="B2231" t="s">
        <v>288</v>
      </c>
      <c r="C2231" t="s">
        <v>4</v>
      </c>
      <c r="D2231" t="s">
        <v>29</v>
      </c>
      <c r="E2231">
        <v>0.95876288659793829</v>
      </c>
    </row>
    <row r="2232" spans="1:5" x14ac:dyDescent="0.25">
      <c r="A2232" t="s">
        <v>572</v>
      </c>
      <c r="B2232" t="s">
        <v>285</v>
      </c>
      <c r="C2232" t="s">
        <v>4</v>
      </c>
      <c r="D2232" t="s">
        <v>29</v>
      </c>
      <c r="E2232">
        <v>1</v>
      </c>
    </row>
    <row r="2233" spans="1:5" x14ac:dyDescent="0.25">
      <c r="A2233" t="s">
        <v>572</v>
      </c>
      <c r="B2233" t="s">
        <v>16</v>
      </c>
      <c r="C2233" t="s">
        <v>4</v>
      </c>
      <c r="D2233" t="s">
        <v>504</v>
      </c>
      <c r="E2233">
        <v>0.83333333333333348</v>
      </c>
    </row>
    <row r="2234" spans="1:5" x14ac:dyDescent="0.25">
      <c r="A2234" t="s">
        <v>572</v>
      </c>
      <c r="B2234" t="s">
        <v>16</v>
      </c>
      <c r="C2234" t="s">
        <v>5</v>
      </c>
      <c r="D2234" t="s">
        <v>504</v>
      </c>
      <c r="E2234">
        <v>0.70588235294117652</v>
      </c>
    </row>
    <row r="2235" spans="1:5" x14ac:dyDescent="0.25">
      <c r="A2235" t="s">
        <v>572</v>
      </c>
      <c r="B2235" t="s">
        <v>285</v>
      </c>
      <c r="C2235" t="s">
        <v>4</v>
      </c>
      <c r="D2235" t="s">
        <v>504</v>
      </c>
      <c r="E2235">
        <v>0.70498495917490334</v>
      </c>
    </row>
    <row r="2236" spans="1:5" x14ac:dyDescent="0.25">
      <c r="A2236" t="s">
        <v>572</v>
      </c>
      <c r="B2236" t="s">
        <v>16</v>
      </c>
      <c r="C2236" t="s">
        <v>4</v>
      </c>
      <c r="D2236" t="s">
        <v>502</v>
      </c>
      <c r="E2236">
        <v>0.8</v>
      </c>
    </row>
    <row r="2237" spans="1:5" x14ac:dyDescent="0.25">
      <c r="A2237" t="s">
        <v>572</v>
      </c>
      <c r="B2237" t="s">
        <v>16</v>
      </c>
      <c r="C2237" t="s">
        <v>5</v>
      </c>
      <c r="D2237" t="s">
        <v>502</v>
      </c>
      <c r="E2237">
        <v>0.88888888888888884</v>
      </c>
    </row>
    <row r="2238" spans="1:5" x14ac:dyDescent="0.25">
      <c r="A2238" t="s">
        <v>572</v>
      </c>
      <c r="B2238" t="s">
        <v>16</v>
      </c>
      <c r="C2238" t="s">
        <v>18</v>
      </c>
      <c r="D2238" t="s">
        <v>502</v>
      </c>
      <c r="E2238">
        <v>0</v>
      </c>
    </row>
    <row r="2239" spans="1:5" x14ac:dyDescent="0.25">
      <c r="A2239" t="s">
        <v>572</v>
      </c>
      <c r="B2239" t="s">
        <v>288</v>
      </c>
      <c r="C2239" t="s">
        <v>4</v>
      </c>
      <c r="D2239" t="s">
        <v>502</v>
      </c>
      <c r="E2239">
        <v>1</v>
      </c>
    </row>
    <row r="2240" spans="1:5" x14ac:dyDescent="0.25">
      <c r="A2240" t="s">
        <v>572</v>
      </c>
      <c r="B2240" t="s">
        <v>288</v>
      </c>
      <c r="C2240" t="s">
        <v>5</v>
      </c>
      <c r="D2240" t="s">
        <v>502</v>
      </c>
      <c r="E2240">
        <v>1</v>
      </c>
    </row>
    <row r="2241" spans="1:5" x14ac:dyDescent="0.25">
      <c r="A2241" t="s">
        <v>572</v>
      </c>
      <c r="B2241" t="s">
        <v>288</v>
      </c>
      <c r="C2241" t="s">
        <v>18</v>
      </c>
      <c r="D2241" t="s">
        <v>502</v>
      </c>
      <c r="E2241">
        <v>0</v>
      </c>
    </row>
    <row r="2242" spans="1:5" x14ac:dyDescent="0.25">
      <c r="A2242" t="s">
        <v>572</v>
      </c>
      <c r="B2242" t="s">
        <v>16</v>
      </c>
      <c r="C2242" t="s">
        <v>4</v>
      </c>
      <c r="D2242" t="s">
        <v>31</v>
      </c>
      <c r="E2242">
        <v>0.91119691119691115</v>
      </c>
    </row>
    <row r="2243" spans="1:5" x14ac:dyDescent="0.25">
      <c r="A2243" t="s">
        <v>572</v>
      </c>
      <c r="B2243" t="s">
        <v>16</v>
      </c>
      <c r="C2243" t="s">
        <v>5</v>
      </c>
      <c r="D2243" t="s">
        <v>31</v>
      </c>
      <c r="E2243">
        <v>0.77142857142857157</v>
      </c>
    </row>
    <row r="2244" spans="1:5" x14ac:dyDescent="0.25">
      <c r="A2244" t="s">
        <v>572</v>
      </c>
      <c r="B2244" t="s">
        <v>288</v>
      </c>
      <c r="C2244" t="s">
        <v>4</v>
      </c>
      <c r="D2244" t="s">
        <v>31</v>
      </c>
      <c r="E2244">
        <v>0.95238095238095233</v>
      </c>
    </row>
    <row r="2245" spans="1:5" x14ac:dyDescent="0.25">
      <c r="A2245" t="s">
        <v>572</v>
      </c>
      <c r="B2245" t="s">
        <v>288</v>
      </c>
      <c r="C2245" t="s">
        <v>5</v>
      </c>
      <c r="D2245" t="s">
        <v>31</v>
      </c>
      <c r="E2245">
        <v>0.93333333333333324</v>
      </c>
    </row>
    <row r="2246" spans="1:5" x14ac:dyDescent="0.25">
      <c r="A2246" t="s">
        <v>572</v>
      </c>
      <c r="B2246" t="s">
        <v>288</v>
      </c>
      <c r="C2246" t="s">
        <v>18</v>
      </c>
      <c r="D2246" t="s">
        <v>31</v>
      </c>
      <c r="E2246">
        <v>0.8571428571428571</v>
      </c>
    </row>
    <row r="2247" spans="1:5" x14ac:dyDescent="0.25">
      <c r="A2247" t="s">
        <v>572</v>
      </c>
      <c r="B2247" t="s">
        <v>285</v>
      </c>
      <c r="C2247" t="s">
        <v>4</v>
      </c>
      <c r="D2247" t="s">
        <v>31</v>
      </c>
      <c r="E2247">
        <v>1</v>
      </c>
    </row>
    <row r="2248" spans="1:5" x14ac:dyDescent="0.25">
      <c r="A2248" t="s">
        <v>572</v>
      </c>
      <c r="B2248" t="s">
        <v>285</v>
      </c>
      <c r="C2248" t="s">
        <v>18</v>
      </c>
      <c r="D2248" t="s">
        <v>31</v>
      </c>
      <c r="E2248">
        <v>0.88571428571428579</v>
      </c>
    </row>
    <row r="2249" spans="1:5" x14ac:dyDescent="0.25">
      <c r="A2249" t="s">
        <v>572</v>
      </c>
      <c r="B2249" t="s">
        <v>16</v>
      </c>
      <c r="C2249" t="s">
        <v>4</v>
      </c>
      <c r="D2249" t="s">
        <v>249</v>
      </c>
      <c r="E2249">
        <v>0.82608695652173925</v>
      </c>
    </row>
    <row r="2250" spans="1:5" x14ac:dyDescent="0.25">
      <c r="A2250" t="s">
        <v>572</v>
      </c>
      <c r="B2250" t="s">
        <v>285</v>
      </c>
      <c r="C2250" t="s">
        <v>4</v>
      </c>
      <c r="D2250" t="s">
        <v>249</v>
      </c>
      <c r="E2250">
        <v>0.87671232876712324</v>
      </c>
    </row>
    <row r="2251" spans="1:5" x14ac:dyDescent="0.25">
      <c r="A2251" t="s">
        <v>572</v>
      </c>
      <c r="B2251" t="s">
        <v>16</v>
      </c>
      <c r="C2251" t="s">
        <v>4</v>
      </c>
      <c r="D2251" t="s">
        <v>501</v>
      </c>
      <c r="E2251">
        <v>0.6875</v>
      </c>
    </row>
    <row r="2252" spans="1:5" x14ac:dyDescent="0.25">
      <c r="A2252" t="s">
        <v>572</v>
      </c>
      <c r="B2252" t="s">
        <v>288</v>
      </c>
      <c r="C2252" t="s">
        <v>4</v>
      </c>
      <c r="D2252" t="s">
        <v>501</v>
      </c>
      <c r="E2252">
        <v>0.28125</v>
      </c>
    </row>
    <row r="2253" spans="1:5" x14ac:dyDescent="0.25">
      <c r="A2253" t="s">
        <v>572</v>
      </c>
      <c r="B2253" t="s">
        <v>285</v>
      </c>
      <c r="C2253" t="s">
        <v>4</v>
      </c>
      <c r="D2253" t="s">
        <v>501</v>
      </c>
      <c r="E2253">
        <v>0.6428571428571429</v>
      </c>
    </row>
    <row r="2254" spans="1:5" x14ac:dyDescent="0.25">
      <c r="A2254" t="s">
        <v>572</v>
      </c>
      <c r="B2254" t="s">
        <v>16</v>
      </c>
      <c r="C2254" t="s">
        <v>18</v>
      </c>
      <c r="D2254" t="s">
        <v>34</v>
      </c>
      <c r="E2254">
        <v>0.95294117647058818</v>
      </c>
    </row>
    <row r="2255" spans="1:5" x14ac:dyDescent="0.25">
      <c r="A2255" t="s">
        <v>572</v>
      </c>
      <c r="B2255" t="s">
        <v>16</v>
      </c>
      <c r="C2255" t="s">
        <v>4</v>
      </c>
      <c r="D2255" t="s">
        <v>34</v>
      </c>
      <c r="E2255">
        <v>0.83823529411764708</v>
      </c>
    </row>
    <row r="2256" spans="1:5" x14ac:dyDescent="0.25">
      <c r="A2256" t="s">
        <v>572</v>
      </c>
      <c r="B2256" t="s">
        <v>16</v>
      </c>
      <c r="C2256" t="s">
        <v>5</v>
      </c>
      <c r="D2256" t="s">
        <v>34</v>
      </c>
      <c r="E2256">
        <v>0.97512437810945285</v>
      </c>
    </row>
    <row r="2257" spans="1:5" x14ac:dyDescent="0.25">
      <c r="A2257" t="s">
        <v>572</v>
      </c>
      <c r="B2257" t="s">
        <v>288</v>
      </c>
      <c r="C2257" t="s">
        <v>5</v>
      </c>
      <c r="D2257" t="s">
        <v>34</v>
      </c>
      <c r="E2257">
        <v>0.89795918367346939</v>
      </c>
    </row>
    <row r="2258" spans="1:5" x14ac:dyDescent="0.25">
      <c r="A2258" t="s">
        <v>572</v>
      </c>
      <c r="B2258" t="s">
        <v>288</v>
      </c>
      <c r="C2258" t="s">
        <v>4</v>
      </c>
      <c r="D2258" t="s">
        <v>34</v>
      </c>
      <c r="E2258">
        <v>0.74760383386581475</v>
      </c>
    </row>
    <row r="2259" spans="1:5" x14ac:dyDescent="0.25">
      <c r="A2259" t="s">
        <v>572</v>
      </c>
      <c r="B2259" t="s">
        <v>288</v>
      </c>
      <c r="C2259" t="s">
        <v>18</v>
      </c>
      <c r="D2259" t="s">
        <v>34</v>
      </c>
      <c r="E2259">
        <v>0.82352941176470595</v>
      </c>
    </row>
    <row r="2260" spans="1:5" x14ac:dyDescent="0.25">
      <c r="A2260" t="s">
        <v>572</v>
      </c>
      <c r="B2260" t="s">
        <v>285</v>
      </c>
      <c r="C2260" t="s">
        <v>4</v>
      </c>
      <c r="D2260" t="s">
        <v>34</v>
      </c>
      <c r="E2260">
        <v>0.96190476190476193</v>
      </c>
    </row>
    <row r="2261" spans="1:5" x14ac:dyDescent="0.25">
      <c r="A2261" t="s">
        <v>572</v>
      </c>
      <c r="B2261" t="s">
        <v>285</v>
      </c>
      <c r="C2261" t="s">
        <v>18</v>
      </c>
      <c r="D2261" t="s">
        <v>34</v>
      </c>
      <c r="E2261">
        <v>0.70370370370370372</v>
      </c>
    </row>
    <row r="2262" spans="1:5" x14ac:dyDescent="0.25">
      <c r="A2262" t="s">
        <v>572</v>
      </c>
      <c r="B2262" t="s">
        <v>16</v>
      </c>
      <c r="C2262" t="s">
        <v>4</v>
      </c>
      <c r="D2262" t="s">
        <v>38</v>
      </c>
      <c r="E2262">
        <v>0.82057865731462931</v>
      </c>
    </row>
    <row r="2263" spans="1:5" x14ac:dyDescent="0.25">
      <c r="A2263" t="s">
        <v>572</v>
      </c>
      <c r="B2263" t="s">
        <v>16</v>
      </c>
      <c r="C2263" t="s">
        <v>5</v>
      </c>
      <c r="D2263" t="s">
        <v>38</v>
      </c>
      <c r="E2263">
        <v>0.781210433021018</v>
      </c>
    </row>
    <row r="2264" spans="1:5" x14ac:dyDescent="0.25">
      <c r="A2264" t="s">
        <v>572</v>
      </c>
      <c r="B2264" t="s">
        <v>16</v>
      </c>
      <c r="C2264" t="s">
        <v>18</v>
      </c>
      <c r="D2264" t="s">
        <v>38</v>
      </c>
      <c r="E2264">
        <v>0.96713615023474175</v>
      </c>
    </row>
    <row r="2265" spans="1:5" x14ac:dyDescent="0.25">
      <c r="A2265" t="s">
        <v>572</v>
      </c>
      <c r="B2265" t="s">
        <v>288</v>
      </c>
      <c r="C2265" t="s">
        <v>4</v>
      </c>
      <c r="D2265" t="s">
        <v>38</v>
      </c>
      <c r="E2265">
        <v>0.78872269854183619</v>
      </c>
    </row>
    <row r="2266" spans="1:5" x14ac:dyDescent="0.25">
      <c r="A2266" t="s">
        <v>572</v>
      </c>
      <c r="B2266" t="s">
        <v>288</v>
      </c>
      <c r="C2266" t="s">
        <v>5</v>
      </c>
      <c r="D2266" t="s">
        <v>38</v>
      </c>
      <c r="E2266">
        <v>0.78527042577675488</v>
      </c>
    </row>
    <row r="2267" spans="1:5" x14ac:dyDescent="0.25">
      <c r="A2267" t="s">
        <v>572</v>
      </c>
      <c r="B2267" t="s">
        <v>288</v>
      </c>
      <c r="C2267" t="s">
        <v>18</v>
      </c>
      <c r="D2267" t="s">
        <v>38</v>
      </c>
      <c r="E2267">
        <v>0.82873453853472878</v>
      </c>
    </row>
    <row r="2268" spans="1:5" x14ac:dyDescent="0.25">
      <c r="A2268" t="s">
        <v>572</v>
      </c>
      <c r="B2268" t="s">
        <v>288</v>
      </c>
      <c r="C2268" t="s">
        <v>19</v>
      </c>
      <c r="D2268" t="s">
        <v>38</v>
      </c>
      <c r="E2268">
        <v>1</v>
      </c>
    </row>
    <row r="2269" spans="1:5" x14ac:dyDescent="0.25">
      <c r="A2269" t="s">
        <v>572</v>
      </c>
      <c r="B2269" t="s">
        <v>285</v>
      </c>
      <c r="C2269" t="s">
        <v>4</v>
      </c>
      <c r="D2269" t="s">
        <v>38</v>
      </c>
      <c r="E2269">
        <v>0.88709677419354827</v>
      </c>
    </row>
    <row r="2270" spans="1:5" x14ac:dyDescent="0.25">
      <c r="A2270" t="s">
        <v>572</v>
      </c>
      <c r="B2270" t="s">
        <v>285</v>
      </c>
      <c r="C2270" t="s">
        <v>5</v>
      </c>
      <c r="D2270" t="s">
        <v>38</v>
      </c>
      <c r="E2270">
        <v>0.84454865181711603</v>
      </c>
    </row>
    <row r="2271" spans="1:5" x14ac:dyDescent="0.25">
      <c r="A2271" t="s">
        <v>572</v>
      </c>
      <c r="B2271" t="s">
        <v>285</v>
      </c>
      <c r="C2271" t="s">
        <v>18</v>
      </c>
      <c r="D2271" t="s">
        <v>38</v>
      </c>
      <c r="E2271">
        <v>0.85013876040703051</v>
      </c>
    </row>
    <row r="2272" spans="1:5" x14ac:dyDescent="0.25">
      <c r="A2272" t="s">
        <v>572</v>
      </c>
      <c r="B2272" t="s">
        <v>285</v>
      </c>
      <c r="C2272" t="s">
        <v>4</v>
      </c>
      <c r="D2272" t="s">
        <v>513</v>
      </c>
      <c r="E2272">
        <v>13</v>
      </c>
    </row>
    <row r="2273" spans="1:5" x14ac:dyDescent="0.25">
      <c r="A2273" t="s">
        <v>572</v>
      </c>
      <c r="B2273" t="s">
        <v>16</v>
      </c>
      <c r="C2273" t="s">
        <v>4</v>
      </c>
      <c r="D2273" t="s">
        <v>509</v>
      </c>
      <c r="E2273">
        <v>55</v>
      </c>
    </row>
    <row r="2274" spans="1:5" x14ac:dyDescent="0.25">
      <c r="A2274" t="s">
        <v>572</v>
      </c>
      <c r="B2274" t="s">
        <v>288</v>
      </c>
      <c r="C2274" t="s">
        <v>4</v>
      </c>
      <c r="D2274" t="s">
        <v>509</v>
      </c>
      <c r="E2274">
        <v>9</v>
      </c>
    </row>
    <row r="2275" spans="1:5" x14ac:dyDescent="0.25">
      <c r="A2275" t="s">
        <v>572</v>
      </c>
      <c r="B2275" t="s">
        <v>285</v>
      </c>
      <c r="C2275" t="s">
        <v>4</v>
      </c>
      <c r="D2275" t="s">
        <v>509</v>
      </c>
      <c r="E2275">
        <v>8</v>
      </c>
    </row>
    <row r="2276" spans="1:5" x14ac:dyDescent="0.25">
      <c r="A2276" t="s">
        <v>572</v>
      </c>
      <c r="B2276" t="s">
        <v>285</v>
      </c>
      <c r="C2276" t="s">
        <v>4</v>
      </c>
      <c r="D2276" t="s">
        <v>514</v>
      </c>
      <c r="E2276">
        <v>105</v>
      </c>
    </row>
    <row r="2277" spans="1:5" x14ac:dyDescent="0.25">
      <c r="A2277" t="s">
        <v>572</v>
      </c>
      <c r="B2277" t="s">
        <v>16</v>
      </c>
      <c r="C2277" t="s">
        <v>5</v>
      </c>
      <c r="D2277" t="s">
        <v>510</v>
      </c>
      <c r="E2277">
        <v>29</v>
      </c>
    </row>
    <row r="2278" spans="1:5" x14ac:dyDescent="0.25">
      <c r="A2278" t="s">
        <v>572</v>
      </c>
      <c r="B2278" t="s">
        <v>16</v>
      </c>
      <c r="C2278" t="s">
        <v>4</v>
      </c>
      <c r="D2278" t="s">
        <v>510</v>
      </c>
      <c r="E2278">
        <v>9</v>
      </c>
    </row>
    <row r="2279" spans="1:5" x14ac:dyDescent="0.25">
      <c r="A2279" t="s">
        <v>572</v>
      </c>
      <c r="B2279" t="s">
        <v>285</v>
      </c>
      <c r="C2279" t="s">
        <v>4</v>
      </c>
      <c r="D2279" t="s">
        <v>510</v>
      </c>
      <c r="E2279">
        <v>56</v>
      </c>
    </row>
    <row r="2280" spans="1:5" x14ac:dyDescent="0.25">
      <c r="A2280" t="s">
        <v>572</v>
      </c>
      <c r="B2280" t="s">
        <v>288</v>
      </c>
      <c r="C2280" t="s">
        <v>4</v>
      </c>
      <c r="D2280" t="s">
        <v>512</v>
      </c>
      <c r="E2280">
        <v>14</v>
      </c>
    </row>
    <row r="2281" spans="1:5" x14ac:dyDescent="0.25">
      <c r="A2281" t="s">
        <v>572</v>
      </c>
      <c r="B2281" t="s">
        <v>288</v>
      </c>
      <c r="C2281" t="s">
        <v>5</v>
      </c>
      <c r="D2281" t="s">
        <v>512</v>
      </c>
      <c r="E2281">
        <v>6</v>
      </c>
    </row>
    <row r="2282" spans="1:5" x14ac:dyDescent="0.25">
      <c r="A2282" t="s">
        <v>572</v>
      </c>
      <c r="B2282" t="s">
        <v>16</v>
      </c>
      <c r="C2282" t="s">
        <v>4</v>
      </c>
      <c r="D2282" t="s">
        <v>42</v>
      </c>
      <c r="E2282">
        <v>334</v>
      </c>
    </row>
    <row r="2283" spans="1:5" x14ac:dyDescent="0.25">
      <c r="A2283" t="s">
        <v>572</v>
      </c>
      <c r="B2283" t="s">
        <v>288</v>
      </c>
      <c r="C2283" t="s">
        <v>4</v>
      </c>
      <c r="D2283" t="s">
        <v>42</v>
      </c>
      <c r="E2283">
        <v>564</v>
      </c>
    </row>
    <row r="2284" spans="1:5" x14ac:dyDescent="0.25">
      <c r="A2284" t="s">
        <v>572</v>
      </c>
      <c r="B2284" t="s">
        <v>285</v>
      </c>
      <c r="C2284" t="s">
        <v>4</v>
      </c>
      <c r="D2284" t="s">
        <v>42</v>
      </c>
      <c r="E2284">
        <v>485</v>
      </c>
    </row>
    <row r="2285" spans="1:5" x14ac:dyDescent="0.25">
      <c r="A2285" t="s">
        <v>572</v>
      </c>
      <c r="B2285" t="s">
        <v>285</v>
      </c>
      <c r="C2285" t="s">
        <v>18</v>
      </c>
      <c r="D2285" t="s">
        <v>42</v>
      </c>
      <c r="E2285">
        <v>20</v>
      </c>
    </row>
    <row r="2286" spans="1:5" x14ac:dyDescent="0.25">
      <c r="A2286" t="s">
        <v>572</v>
      </c>
      <c r="B2286" t="s">
        <v>285</v>
      </c>
      <c r="D2286" t="s">
        <v>42</v>
      </c>
      <c r="E2286">
        <v>17</v>
      </c>
    </row>
    <row r="2287" spans="1:5" x14ac:dyDescent="0.25">
      <c r="A2287" t="s">
        <v>572</v>
      </c>
      <c r="B2287" t="s">
        <v>16</v>
      </c>
      <c r="C2287" t="s">
        <v>4</v>
      </c>
      <c r="D2287" t="s">
        <v>43</v>
      </c>
      <c r="E2287">
        <v>1871</v>
      </c>
    </row>
    <row r="2288" spans="1:5" x14ac:dyDescent="0.25">
      <c r="A2288" t="s">
        <v>572</v>
      </c>
      <c r="B2288" t="s">
        <v>16</v>
      </c>
      <c r="C2288" t="s">
        <v>5</v>
      </c>
      <c r="D2288" t="s">
        <v>43</v>
      </c>
      <c r="E2288">
        <v>751</v>
      </c>
    </row>
    <row r="2289" spans="1:5" x14ac:dyDescent="0.25">
      <c r="A2289" t="s">
        <v>572</v>
      </c>
      <c r="B2289" t="s">
        <v>288</v>
      </c>
      <c r="C2289" t="s">
        <v>4</v>
      </c>
      <c r="D2289" t="s">
        <v>43</v>
      </c>
      <c r="E2289">
        <v>1627</v>
      </c>
    </row>
    <row r="2290" spans="1:5" x14ac:dyDescent="0.25">
      <c r="A2290" t="s">
        <v>572</v>
      </c>
      <c r="B2290" t="s">
        <v>288</v>
      </c>
      <c r="C2290" t="s">
        <v>5</v>
      </c>
      <c r="D2290" t="s">
        <v>43</v>
      </c>
      <c r="E2290">
        <v>305</v>
      </c>
    </row>
    <row r="2291" spans="1:5" x14ac:dyDescent="0.25">
      <c r="A2291" t="s">
        <v>572</v>
      </c>
      <c r="B2291" t="s">
        <v>288</v>
      </c>
      <c r="C2291" t="s">
        <v>18</v>
      </c>
      <c r="D2291" t="s">
        <v>43</v>
      </c>
      <c r="E2291">
        <v>39</v>
      </c>
    </row>
    <row r="2292" spans="1:5" x14ac:dyDescent="0.25">
      <c r="A2292" t="s">
        <v>572</v>
      </c>
      <c r="B2292" t="s">
        <v>285</v>
      </c>
      <c r="C2292" t="s">
        <v>4</v>
      </c>
      <c r="D2292" t="s">
        <v>43</v>
      </c>
      <c r="E2292">
        <v>287</v>
      </c>
    </row>
    <row r="2293" spans="1:5" x14ac:dyDescent="0.25">
      <c r="A2293" t="s">
        <v>572</v>
      </c>
      <c r="B2293" t="s">
        <v>285</v>
      </c>
      <c r="C2293" t="s">
        <v>18</v>
      </c>
      <c r="D2293" t="s">
        <v>43</v>
      </c>
      <c r="E2293">
        <v>3</v>
      </c>
    </row>
    <row r="2294" spans="1:5" x14ac:dyDescent="0.25">
      <c r="A2294" t="s">
        <v>572</v>
      </c>
      <c r="B2294" t="s">
        <v>16</v>
      </c>
      <c r="C2294" t="s">
        <v>4</v>
      </c>
      <c r="D2294" t="s">
        <v>507</v>
      </c>
      <c r="E2294">
        <v>1065</v>
      </c>
    </row>
    <row r="2295" spans="1:5" x14ac:dyDescent="0.25">
      <c r="A2295" t="s">
        <v>572</v>
      </c>
      <c r="B2295" t="s">
        <v>285</v>
      </c>
      <c r="C2295" t="s">
        <v>4</v>
      </c>
      <c r="D2295" t="s">
        <v>507</v>
      </c>
      <c r="E2295">
        <v>301</v>
      </c>
    </row>
    <row r="2296" spans="1:5" x14ac:dyDescent="0.25">
      <c r="A2296" t="s">
        <v>572</v>
      </c>
      <c r="B2296" t="s">
        <v>16</v>
      </c>
      <c r="C2296" t="s">
        <v>4</v>
      </c>
      <c r="D2296" t="s">
        <v>508</v>
      </c>
      <c r="E2296">
        <v>24</v>
      </c>
    </row>
    <row r="2297" spans="1:5" x14ac:dyDescent="0.25">
      <c r="A2297" t="s">
        <v>572</v>
      </c>
      <c r="B2297" t="s">
        <v>285</v>
      </c>
      <c r="C2297" t="s">
        <v>4</v>
      </c>
      <c r="D2297" t="s">
        <v>508</v>
      </c>
      <c r="E2297">
        <v>6</v>
      </c>
    </row>
    <row r="2298" spans="1:5" x14ac:dyDescent="0.25">
      <c r="A2298" t="s">
        <v>572</v>
      </c>
      <c r="B2298" t="s">
        <v>16</v>
      </c>
      <c r="C2298" t="s">
        <v>5</v>
      </c>
      <c r="D2298" t="s">
        <v>511</v>
      </c>
      <c r="E2298">
        <v>60</v>
      </c>
    </row>
    <row r="2299" spans="1:5" x14ac:dyDescent="0.25">
      <c r="A2299" t="s">
        <v>572</v>
      </c>
      <c r="B2299" t="s">
        <v>288</v>
      </c>
      <c r="C2299" t="s">
        <v>5</v>
      </c>
      <c r="D2299" t="s">
        <v>511</v>
      </c>
      <c r="E2299">
        <v>119</v>
      </c>
    </row>
    <row r="2300" spans="1:5" x14ac:dyDescent="0.25">
      <c r="A2300" t="s">
        <v>572</v>
      </c>
      <c r="B2300" t="s">
        <v>288</v>
      </c>
      <c r="C2300" t="s">
        <v>4</v>
      </c>
      <c r="D2300" t="s">
        <v>511</v>
      </c>
      <c r="E2300">
        <v>197</v>
      </c>
    </row>
    <row r="2301" spans="1:5" x14ac:dyDescent="0.25">
      <c r="A2301" t="s">
        <v>572</v>
      </c>
      <c r="B2301" t="s">
        <v>288</v>
      </c>
      <c r="C2301" t="s">
        <v>18</v>
      </c>
      <c r="D2301" t="s">
        <v>511</v>
      </c>
      <c r="E2301">
        <v>5</v>
      </c>
    </row>
    <row r="2302" spans="1:5" x14ac:dyDescent="0.25">
      <c r="A2302" t="s">
        <v>572</v>
      </c>
      <c r="B2302" t="s">
        <v>285</v>
      </c>
      <c r="C2302" t="s">
        <v>4</v>
      </c>
      <c r="D2302" t="s">
        <v>511</v>
      </c>
      <c r="E2302">
        <v>44</v>
      </c>
    </row>
    <row r="2303" spans="1:5" x14ac:dyDescent="0.25">
      <c r="A2303" t="s">
        <v>572</v>
      </c>
      <c r="B2303" t="s">
        <v>285</v>
      </c>
      <c r="C2303" t="s">
        <v>18</v>
      </c>
      <c r="D2303" t="s">
        <v>511</v>
      </c>
      <c r="E2303">
        <v>5</v>
      </c>
    </row>
    <row r="2304" spans="1:5" x14ac:dyDescent="0.25">
      <c r="A2304" t="s">
        <v>572</v>
      </c>
      <c r="B2304" t="s">
        <v>16</v>
      </c>
      <c r="C2304" t="s">
        <v>5</v>
      </c>
      <c r="D2304" t="s">
        <v>44</v>
      </c>
      <c r="E2304">
        <v>1636</v>
      </c>
    </row>
    <row r="2305" spans="1:5" x14ac:dyDescent="0.25">
      <c r="A2305" t="s">
        <v>572</v>
      </c>
      <c r="B2305" t="s">
        <v>16</v>
      </c>
      <c r="C2305" t="s">
        <v>4</v>
      </c>
      <c r="D2305" t="s">
        <v>44</v>
      </c>
      <c r="E2305">
        <v>5202</v>
      </c>
    </row>
    <row r="2306" spans="1:5" x14ac:dyDescent="0.25">
      <c r="A2306" t="s">
        <v>572</v>
      </c>
      <c r="B2306" t="s">
        <v>16</v>
      </c>
      <c r="C2306" t="s">
        <v>18</v>
      </c>
      <c r="D2306" t="s">
        <v>44</v>
      </c>
      <c r="E2306">
        <v>584</v>
      </c>
    </row>
    <row r="2307" spans="1:5" x14ac:dyDescent="0.25">
      <c r="A2307" t="s">
        <v>572</v>
      </c>
      <c r="B2307" t="s">
        <v>288</v>
      </c>
      <c r="C2307" t="s">
        <v>5</v>
      </c>
      <c r="D2307" t="s">
        <v>44</v>
      </c>
      <c r="E2307">
        <v>2052</v>
      </c>
    </row>
    <row r="2308" spans="1:5" x14ac:dyDescent="0.25">
      <c r="A2308" t="s">
        <v>572</v>
      </c>
      <c r="B2308" t="s">
        <v>288</v>
      </c>
      <c r="C2308" t="s">
        <v>4</v>
      </c>
      <c r="D2308" t="s">
        <v>44</v>
      </c>
      <c r="E2308">
        <v>4267</v>
      </c>
    </row>
    <row r="2309" spans="1:5" x14ac:dyDescent="0.25">
      <c r="A2309" t="s">
        <v>572</v>
      </c>
      <c r="B2309" t="s">
        <v>288</v>
      </c>
      <c r="C2309" t="s">
        <v>18</v>
      </c>
      <c r="D2309" t="s">
        <v>44</v>
      </c>
      <c r="E2309">
        <v>157</v>
      </c>
    </row>
    <row r="2310" spans="1:5" x14ac:dyDescent="0.25">
      <c r="A2310" t="s">
        <v>572</v>
      </c>
      <c r="B2310" t="s">
        <v>285</v>
      </c>
      <c r="C2310" t="s">
        <v>4</v>
      </c>
      <c r="D2310" t="s">
        <v>44</v>
      </c>
      <c r="E2310">
        <v>4255</v>
      </c>
    </row>
    <row r="2311" spans="1:5" x14ac:dyDescent="0.25">
      <c r="A2311" t="s">
        <v>572</v>
      </c>
      <c r="B2311" t="s">
        <v>285</v>
      </c>
      <c r="C2311" t="s">
        <v>5</v>
      </c>
      <c r="D2311" t="s">
        <v>44</v>
      </c>
      <c r="E2311">
        <v>3393</v>
      </c>
    </row>
    <row r="2312" spans="1:5" x14ac:dyDescent="0.25">
      <c r="A2312" t="s">
        <v>572</v>
      </c>
      <c r="B2312" t="s">
        <v>285</v>
      </c>
      <c r="C2312" t="s">
        <v>18</v>
      </c>
      <c r="D2312" t="s">
        <v>44</v>
      </c>
      <c r="E2312">
        <v>387</v>
      </c>
    </row>
    <row r="2313" spans="1:5" x14ac:dyDescent="0.25">
      <c r="A2313" t="s">
        <v>572</v>
      </c>
      <c r="B2313" t="s">
        <v>16</v>
      </c>
      <c r="C2313" t="s">
        <v>4</v>
      </c>
      <c r="D2313" t="s">
        <v>21</v>
      </c>
      <c r="E2313">
        <v>0.93277185659983619</v>
      </c>
    </row>
    <row r="2314" spans="1:5" x14ac:dyDescent="0.25">
      <c r="A2314" t="s">
        <v>572</v>
      </c>
      <c r="B2314" t="s">
        <v>16</v>
      </c>
      <c r="C2314" t="s">
        <v>5</v>
      </c>
      <c r="D2314" t="s">
        <v>21</v>
      </c>
      <c r="E2314">
        <v>0.9578651685393258</v>
      </c>
    </row>
    <row r="2315" spans="1:5" x14ac:dyDescent="0.25">
      <c r="A2315" t="s">
        <v>572</v>
      </c>
      <c r="B2315" t="s">
        <v>16</v>
      </c>
      <c r="C2315" t="s">
        <v>18</v>
      </c>
      <c r="D2315" t="s">
        <v>21</v>
      </c>
      <c r="E2315">
        <v>0.22408026755852839</v>
      </c>
    </row>
    <row r="2316" spans="1:5" x14ac:dyDescent="0.25">
      <c r="A2316" t="s">
        <v>572</v>
      </c>
      <c r="B2316" t="s">
        <v>16</v>
      </c>
      <c r="D2316" t="s">
        <v>21</v>
      </c>
      <c r="E2316">
        <v>1</v>
      </c>
    </row>
    <row r="2317" spans="1:5" x14ac:dyDescent="0.25">
      <c r="A2317" t="s">
        <v>572</v>
      </c>
      <c r="B2317" t="s">
        <v>288</v>
      </c>
      <c r="C2317" t="s">
        <v>4</v>
      </c>
      <c r="D2317" t="s">
        <v>21</v>
      </c>
      <c r="E2317">
        <v>0.89644926459664243</v>
      </c>
    </row>
    <row r="2318" spans="1:5" x14ac:dyDescent="0.25">
      <c r="A2318" t="s">
        <v>572</v>
      </c>
      <c r="B2318" t="s">
        <v>288</v>
      </c>
      <c r="C2318" t="s">
        <v>5</v>
      </c>
      <c r="D2318" t="s">
        <v>21</v>
      </c>
      <c r="E2318">
        <v>0.96845070422535195</v>
      </c>
    </row>
    <row r="2319" spans="1:5" x14ac:dyDescent="0.25">
      <c r="A2319" t="s">
        <v>572</v>
      </c>
      <c r="B2319" t="s">
        <v>288</v>
      </c>
      <c r="C2319" t="s">
        <v>18</v>
      </c>
      <c r="D2319" t="s">
        <v>21</v>
      </c>
      <c r="E2319">
        <v>0.97396963123644253</v>
      </c>
    </row>
    <row r="2320" spans="1:5" x14ac:dyDescent="0.25">
      <c r="A2320" t="s">
        <v>572</v>
      </c>
      <c r="B2320" t="s">
        <v>288</v>
      </c>
      <c r="C2320" t="s">
        <v>19</v>
      </c>
      <c r="D2320" t="s">
        <v>21</v>
      </c>
      <c r="E2320">
        <v>0.95454545454545459</v>
      </c>
    </row>
    <row r="2321" spans="1:5" x14ac:dyDescent="0.25">
      <c r="A2321" t="s">
        <v>572</v>
      </c>
      <c r="B2321" t="s">
        <v>285</v>
      </c>
      <c r="C2321" t="s">
        <v>4</v>
      </c>
      <c r="D2321" t="s">
        <v>21</v>
      </c>
      <c r="E2321">
        <v>0.55649695755988604</v>
      </c>
    </row>
    <row r="2322" spans="1:5" x14ac:dyDescent="0.25">
      <c r="A2322" t="s">
        <v>572</v>
      </c>
      <c r="B2322" t="s">
        <v>285</v>
      </c>
      <c r="D2322" t="s">
        <v>21</v>
      </c>
      <c r="E2322">
        <v>1</v>
      </c>
    </row>
    <row r="2323" spans="1:5" x14ac:dyDescent="0.25">
      <c r="A2323" t="s">
        <v>572</v>
      </c>
      <c r="B2323" t="s">
        <v>285</v>
      </c>
      <c r="C2323" t="s">
        <v>5</v>
      </c>
      <c r="D2323" t="s">
        <v>21</v>
      </c>
      <c r="E2323">
        <v>0.7852233676975946</v>
      </c>
    </row>
    <row r="2324" spans="1:5" x14ac:dyDescent="0.25">
      <c r="A2324" t="s">
        <v>572</v>
      </c>
      <c r="B2324" t="s">
        <v>285</v>
      </c>
      <c r="C2324" t="s">
        <v>18</v>
      </c>
      <c r="D2324" t="s">
        <v>21</v>
      </c>
      <c r="E2324">
        <v>0.60520607375271152</v>
      </c>
    </row>
    <row r="2325" spans="1:5" x14ac:dyDescent="0.25">
      <c r="A2325" t="s">
        <v>572</v>
      </c>
      <c r="B2325" t="s">
        <v>16</v>
      </c>
      <c r="C2325" t="s">
        <v>4</v>
      </c>
      <c r="D2325" t="s">
        <v>22</v>
      </c>
      <c r="E2325">
        <v>1283</v>
      </c>
    </row>
    <row r="2326" spans="1:5" x14ac:dyDescent="0.25">
      <c r="A2326" t="s">
        <v>572</v>
      </c>
      <c r="B2326" t="s">
        <v>16</v>
      </c>
      <c r="C2326" t="s">
        <v>5</v>
      </c>
      <c r="D2326" t="s">
        <v>22</v>
      </c>
      <c r="E2326">
        <v>281</v>
      </c>
    </row>
    <row r="2327" spans="1:5" x14ac:dyDescent="0.25">
      <c r="A2327" t="s">
        <v>572</v>
      </c>
      <c r="B2327" t="s">
        <v>16</v>
      </c>
      <c r="C2327" t="s">
        <v>18</v>
      </c>
      <c r="D2327" t="s">
        <v>22</v>
      </c>
      <c r="E2327">
        <v>92</v>
      </c>
    </row>
    <row r="2328" spans="1:5" x14ac:dyDescent="0.25">
      <c r="A2328" t="s">
        <v>572</v>
      </c>
      <c r="B2328" t="s">
        <v>288</v>
      </c>
      <c r="C2328" t="s">
        <v>4</v>
      </c>
      <c r="D2328" t="s">
        <v>22</v>
      </c>
      <c r="E2328">
        <v>1287</v>
      </c>
    </row>
    <row r="2329" spans="1:5" x14ac:dyDescent="0.25">
      <c r="A2329" t="s">
        <v>572</v>
      </c>
      <c r="B2329" t="s">
        <v>288</v>
      </c>
      <c r="C2329" t="s">
        <v>5</v>
      </c>
      <c r="D2329" t="s">
        <v>22</v>
      </c>
      <c r="E2329">
        <v>478</v>
      </c>
    </row>
    <row r="2330" spans="1:5" x14ac:dyDescent="0.25">
      <c r="A2330" t="s">
        <v>572</v>
      </c>
      <c r="B2330" t="s">
        <v>288</v>
      </c>
      <c r="C2330" t="s">
        <v>18</v>
      </c>
      <c r="D2330" t="s">
        <v>22</v>
      </c>
      <c r="E2330">
        <v>26</v>
      </c>
    </row>
    <row r="2331" spans="1:5" x14ac:dyDescent="0.25">
      <c r="A2331" t="s">
        <v>572</v>
      </c>
      <c r="B2331" t="s">
        <v>285</v>
      </c>
      <c r="C2331" t="s">
        <v>4</v>
      </c>
      <c r="D2331" t="s">
        <v>22</v>
      </c>
      <c r="E2331">
        <v>1211</v>
      </c>
    </row>
    <row r="2332" spans="1:5" x14ac:dyDescent="0.25">
      <c r="A2332" t="s">
        <v>572</v>
      </c>
      <c r="B2332" t="s">
        <v>285</v>
      </c>
      <c r="C2332" t="s">
        <v>5</v>
      </c>
      <c r="D2332" t="s">
        <v>22</v>
      </c>
      <c r="E2332">
        <v>543</v>
      </c>
    </row>
    <row r="2333" spans="1:5" x14ac:dyDescent="0.25">
      <c r="A2333" t="s">
        <v>572</v>
      </c>
      <c r="B2333" t="s">
        <v>285</v>
      </c>
      <c r="C2333" t="s">
        <v>18</v>
      </c>
      <c r="D2333" t="s">
        <v>22</v>
      </c>
      <c r="E2333">
        <v>97</v>
      </c>
    </row>
    <row r="2334" spans="1:5" x14ac:dyDescent="0.25">
      <c r="A2334" t="s">
        <v>572</v>
      </c>
      <c r="B2334" t="s">
        <v>16</v>
      </c>
      <c r="C2334" t="s">
        <v>5</v>
      </c>
      <c r="D2334" t="s">
        <v>23</v>
      </c>
      <c r="E2334">
        <v>721</v>
      </c>
    </row>
    <row r="2335" spans="1:5" x14ac:dyDescent="0.25">
      <c r="A2335" t="s">
        <v>572</v>
      </c>
      <c r="B2335" t="s">
        <v>16</v>
      </c>
      <c r="C2335" t="s">
        <v>4</v>
      </c>
      <c r="D2335" t="s">
        <v>23</v>
      </c>
      <c r="E2335">
        <v>2526</v>
      </c>
    </row>
    <row r="2336" spans="1:5" x14ac:dyDescent="0.25">
      <c r="A2336" t="s">
        <v>572</v>
      </c>
      <c r="B2336" t="s">
        <v>16</v>
      </c>
      <c r="C2336" t="s">
        <v>18</v>
      </c>
      <c r="D2336" t="s">
        <v>23</v>
      </c>
      <c r="E2336">
        <v>248</v>
      </c>
    </row>
    <row r="2337" spans="1:5" x14ac:dyDescent="0.25">
      <c r="A2337" t="s">
        <v>572</v>
      </c>
      <c r="B2337" t="s">
        <v>288</v>
      </c>
      <c r="C2337" t="s">
        <v>4</v>
      </c>
      <c r="D2337" t="s">
        <v>23</v>
      </c>
      <c r="E2337">
        <v>5127</v>
      </c>
    </row>
    <row r="2338" spans="1:5" x14ac:dyDescent="0.25">
      <c r="A2338" t="s">
        <v>572</v>
      </c>
      <c r="B2338" t="s">
        <v>288</v>
      </c>
      <c r="C2338" t="s">
        <v>19</v>
      </c>
      <c r="D2338" t="s">
        <v>23</v>
      </c>
      <c r="E2338">
        <v>5</v>
      </c>
    </row>
    <row r="2339" spans="1:5" x14ac:dyDescent="0.25">
      <c r="A2339" t="s">
        <v>572</v>
      </c>
      <c r="B2339" t="s">
        <v>288</v>
      </c>
      <c r="C2339" t="s">
        <v>18</v>
      </c>
      <c r="D2339" t="s">
        <v>23</v>
      </c>
      <c r="E2339">
        <v>371</v>
      </c>
    </row>
    <row r="2340" spans="1:5" x14ac:dyDescent="0.25">
      <c r="A2340" t="s">
        <v>572</v>
      </c>
      <c r="B2340" t="s">
        <v>288</v>
      </c>
      <c r="C2340" t="s">
        <v>5</v>
      </c>
      <c r="D2340" t="s">
        <v>23</v>
      </c>
      <c r="E2340">
        <v>839</v>
      </c>
    </row>
    <row r="2341" spans="1:5" x14ac:dyDescent="0.25">
      <c r="A2341" t="s">
        <v>572</v>
      </c>
      <c r="B2341" t="s">
        <v>285</v>
      </c>
      <c r="C2341" t="s">
        <v>4</v>
      </c>
      <c r="D2341" t="s">
        <v>23</v>
      </c>
      <c r="E2341">
        <v>3317</v>
      </c>
    </row>
    <row r="2342" spans="1:5" x14ac:dyDescent="0.25">
      <c r="A2342" t="s">
        <v>572</v>
      </c>
      <c r="B2342" t="s">
        <v>285</v>
      </c>
      <c r="C2342" t="s">
        <v>5</v>
      </c>
      <c r="D2342" t="s">
        <v>23</v>
      </c>
      <c r="E2342">
        <v>894</v>
      </c>
    </row>
    <row r="2343" spans="1:5" x14ac:dyDescent="0.25">
      <c r="A2343" t="s">
        <v>572</v>
      </c>
      <c r="B2343" t="s">
        <v>285</v>
      </c>
      <c r="C2343" t="s">
        <v>18</v>
      </c>
      <c r="D2343" t="s">
        <v>23</v>
      </c>
      <c r="E2343">
        <v>151</v>
      </c>
    </row>
    <row r="2344" spans="1:5" x14ac:dyDescent="0.25">
      <c r="A2344" t="s">
        <v>572</v>
      </c>
      <c r="B2344" t="s">
        <v>16</v>
      </c>
      <c r="C2344" t="s">
        <v>4</v>
      </c>
      <c r="D2344" t="s">
        <v>621</v>
      </c>
      <c r="E2344">
        <v>8690</v>
      </c>
    </row>
    <row r="2345" spans="1:5" x14ac:dyDescent="0.25">
      <c r="A2345" t="s">
        <v>572</v>
      </c>
      <c r="B2345" t="s">
        <v>16</v>
      </c>
      <c r="C2345" t="s">
        <v>5</v>
      </c>
      <c r="D2345" t="s">
        <v>621</v>
      </c>
      <c r="E2345">
        <v>2053</v>
      </c>
    </row>
    <row r="2346" spans="1:5" x14ac:dyDescent="0.25">
      <c r="A2346" t="s">
        <v>572</v>
      </c>
      <c r="B2346" t="s">
        <v>16</v>
      </c>
      <c r="C2346" t="s">
        <v>18</v>
      </c>
      <c r="D2346" t="s">
        <v>621</v>
      </c>
      <c r="E2346">
        <v>476</v>
      </c>
    </row>
    <row r="2347" spans="1:5" x14ac:dyDescent="0.25">
      <c r="A2347" t="s">
        <v>572</v>
      </c>
      <c r="B2347" t="s">
        <v>288</v>
      </c>
      <c r="C2347" t="s">
        <v>4</v>
      </c>
      <c r="D2347" t="s">
        <v>621</v>
      </c>
      <c r="E2347">
        <v>6159</v>
      </c>
    </row>
    <row r="2348" spans="1:5" x14ac:dyDescent="0.25">
      <c r="A2348" t="s">
        <v>572</v>
      </c>
      <c r="B2348" t="s">
        <v>288</v>
      </c>
      <c r="C2348" t="s">
        <v>19</v>
      </c>
      <c r="D2348" t="s">
        <v>621</v>
      </c>
      <c r="E2348">
        <v>17</v>
      </c>
    </row>
    <row r="2349" spans="1:5" x14ac:dyDescent="0.25">
      <c r="A2349" t="s">
        <v>572</v>
      </c>
      <c r="B2349" t="s">
        <v>288</v>
      </c>
      <c r="C2349" t="s">
        <v>5</v>
      </c>
      <c r="D2349" t="s">
        <v>621</v>
      </c>
      <c r="E2349">
        <v>2056</v>
      </c>
    </row>
    <row r="2350" spans="1:5" x14ac:dyDescent="0.25">
      <c r="A2350" t="s">
        <v>572</v>
      </c>
      <c r="B2350" t="s">
        <v>288</v>
      </c>
      <c r="C2350" t="s">
        <v>18</v>
      </c>
      <c r="D2350" t="s">
        <v>621</v>
      </c>
      <c r="E2350">
        <v>473</v>
      </c>
    </row>
    <row r="2351" spans="1:5" x14ac:dyDescent="0.25">
      <c r="A2351" t="s">
        <v>572</v>
      </c>
      <c r="B2351" t="s">
        <v>285</v>
      </c>
      <c r="C2351" t="s">
        <v>4</v>
      </c>
      <c r="D2351" t="s">
        <v>621</v>
      </c>
      <c r="E2351">
        <v>4365</v>
      </c>
    </row>
    <row r="2352" spans="1:5" x14ac:dyDescent="0.25">
      <c r="A2352" t="s">
        <v>572</v>
      </c>
      <c r="B2352" t="s">
        <v>285</v>
      </c>
      <c r="C2352" t="s">
        <v>5</v>
      </c>
      <c r="D2352" t="s">
        <v>621</v>
      </c>
      <c r="E2352">
        <v>2055</v>
      </c>
    </row>
    <row r="2353" spans="1:5" x14ac:dyDescent="0.25">
      <c r="A2353" t="s">
        <v>572</v>
      </c>
      <c r="B2353" t="s">
        <v>285</v>
      </c>
      <c r="C2353" t="s">
        <v>18</v>
      </c>
      <c r="D2353" t="s">
        <v>621</v>
      </c>
      <c r="E2353">
        <v>627</v>
      </c>
    </row>
    <row r="2354" spans="1:5" x14ac:dyDescent="0.25">
      <c r="A2354" t="s">
        <v>572</v>
      </c>
      <c r="B2354" t="s">
        <v>16</v>
      </c>
      <c r="C2354" t="s">
        <v>4</v>
      </c>
      <c r="D2354" t="s">
        <v>24</v>
      </c>
      <c r="E2354">
        <v>369.85</v>
      </c>
    </row>
    <row r="2355" spans="1:5" x14ac:dyDescent="0.25">
      <c r="A2355" t="s">
        <v>572</v>
      </c>
      <c r="B2355" t="s">
        <v>16</v>
      </c>
      <c r="C2355" t="s">
        <v>4</v>
      </c>
      <c r="D2355" t="s">
        <v>24</v>
      </c>
      <c r="E2355">
        <v>13.76</v>
      </c>
    </row>
    <row r="2356" spans="1:5" x14ac:dyDescent="0.25">
      <c r="A2356" t="s">
        <v>572</v>
      </c>
      <c r="B2356" t="s">
        <v>288</v>
      </c>
      <c r="C2356" t="s">
        <v>4</v>
      </c>
      <c r="D2356" t="s">
        <v>24</v>
      </c>
      <c r="E2356">
        <v>276.44</v>
      </c>
    </row>
    <row r="2357" spans="1:5" x14ac:dyDescent="0.25">
      <c r="A2357" t="s">
        <v>572</v>
      </c>
      <c r="B2357" t="s">
        <v>288</v>
      </c>
      <c r="C2357" t="s">
        <v>4</v>
      </c>
      <c r="D2357" t="s">
        <v>24</v>
      </c>
      <c r="E2357">
        <v>5.55</v>
      </c>
    </row>
    <row r="2358" spans="1:5" x14ac:dyDescent="0.25">
      <c r="A2358" t="s">
        <v>572</v>
      </c>
      <c r="B2358" t="s">
        <v>285</v>
      </c>
      <c r="C2358" t="s">
        <v>4</v>
      </c>
      <c r="D2358" t="s">
        <v>24</v>
      </c>
      <c r="E2358">
        <v>475.66</v>
      </c>
    </row>
    <row r="2359" spans="1:5" x14ac:dyDescent="0.25">
      <c r="A2359" t="s">
        <v>572</v>
      </c>
      <c r="B2359" t="s">
        <v>285</v>
      </c>
      <c r="C2359" t="s">
        <v>4</v>
      </c>
      <c r="D2359" t="s">
        <v>24</v>
      </c>
      <c r="E2359">
        <v>10.6</v>
      </c>
    </row>
    <row r="2360" spans="1:5" x14ac:dyDescent="0.25">
      <c r="A2360" t="s">
        <v>572</v>
      </c>
      <c r="B2360" t="s">
        <v>16</v>
      </c>
      <c r="C2360" t="s">
        <v>5</v>
      </c>
      <c r="D2360" t="s">
        <v>24</v>
      </c>
      <c r="E2360">
        <v>242.97</v>
      </c>
    </row>
    <row r="2361" spans="1:5" x14ac:dyDescent="0.25">
      <c r="A2361" t="s">
        <v>572</v>
      </c>
      <c r="B2361" t="s">
        <v>288</v>
      </c>
      <c r="C2361" t="s">
        <v>5</v>
      </c>
      <c r="D2361" t="s">
        <v>24</v>
      </c>
      <c r="E2361">
        <v>137.78</v>
      </c>
    </row>
    <row r="2362" spans="1:5" x14ac:dyDescent="0.25">
      <c r="A2362" t="s">
        <v>572</v>
      </c>
      <c r="B2362" t="s">
        <v>285</v>
      </c>
      <c r="C2362" t="s">
        <v>5</v>
      </c>
      <c r="D2362" t="s">
        <v>24</v>
      </c>
      <c r="E2362">
        <v>206.32</v>
      </c>
    </row>
    <row r="2363" spans="1:5" x14ac:dyDescent="0.25">
      <c r="A2363" t="s">
        <v>572</v>
      </c>
      <c r="B2363" t="s">
        <v>16</v>
      </c>
      <c r="C2363" t="s">
        <v>18</v>
      </c>
      <c r="D2363" t="s">
        <v>24</v>
      </c>
      <c r="E2363">
        <v>97.870000000000019</v>
      </c>
    </row>
    <row r="2364" spans="1:5" x14ac:dyDescent="0.25">
      <c r="A2364" t="s">
        <v>572</v>
      </c>
      <c r="B2364" t="s">
        <v>285</v>
      </c>
      <c r="C2364" t="s">
        <v>18</v>
      </c>
      <c r="D2364" t="s">
        <v>24</v>
      </c>
      <c r="E2364">
        <v>7.59</v>
      </c>
    </row>
    <row r="2365" spans="1:5" x14ac:dyDescent="0.25">
      <c r="A2365" t="s">
        <v>572</v>
      </c>
      <c r="B2365" t="s">
        <v>16</v>
      </c>
      <c r="D2365" t="s">
        <v>45</v>
      </c>
      <c r="E2365">
        <v>2160226</v>
      </c>
    </row>
    <row r="2366" spans="1:5" x14ac:dyDescent="0.25">
      <c r="A2366" t="s">
        <v>572</v>
      </c>
      <c r="B2366" t="s">
        <v>288</v>
      </c>
      <c r="D2366" t="s">
        <v>45</v>
      </c>
      <c r="E2366">
        <v>1932328</v>
      </c>
    </row>
    <row r="2367" spans="1:5" x14ac:dyDescent="0.25">
      <c r="A2367" t="s">
        <v>572</v>
      </c>
      <c r="B2367" t="s">
        <v>285</v>
      </c>
      <c r="D2367" t="s">
        <v>45</v>
      </c>
      <c r="E2367">
        <v>1959467</v>
      </c>
    </row>
    <row r="2368" spans="1:5" x14ac:dyDescent="0.25">
      <c r="A2368" t="s">
        <v>572</v>
      </c>
      <c r="B2368" t="s">
        <v>16</v>
      </c>
      <c r="D2368" t="s">
        <v>46</v>
      </c>
      <c r="E2368">
        <v>38650</v>
      </c>
    </row>
    <row r="2369" spans="1:5" x14ac:dyDescent="0.25">
      <c r="A2369" t="s">
        <v>572</v>
      </c>
      <c r="B2369" t="s">
        <v>288</v>
      </c>
      <c r="D2369" t="s">
        <v>46</v>
      </c>
      <c r="E2369">
        <v>36409</v>
      </c>
    </row>
    <row r="2370" spans="1:5" x14ac:dyDescent="0.25">
      <c r="A2370" t="s">
        <v>572</v>
      </c>
      <c r="B2370" t="s">
        <v>285</v>
      </c>
      <c r="D2370" t="s">
        <v>46</v>
      </c>
      <c r="E2370">
        <v>35710</v>
      </c>
    </row>
    <row r="2371" spans="1:5" x14ac:dyDescent="0.25">
      <c r="A2371" t="s">
        <v>572</v>
      </c>
      <c r="B2371" t="s">
        <v>16</v>
      </c>
      <c r="E2371">
        <v>0.49090909090909091</v>
      </c>
    </row>
    <row r="2372" spans="1:5" x14ac:dyDescent="0.25">
      <c r="A2372" t="s">
        <v>572</v>
      </c>
      <c r="B2372" t="s">
        <v>288</v>
      </c>
      <c r="E2372">
        <v>0</v>
      </c>
    </row>
    <row r="2373" spans="1:5" x14ac:dyDescent="0.25">
      <c r="A2373" t="s">
        <v>572</v>
      </c>
      <c r="B2373" t="s">
        <v>285</v>
      </c>
      <c r="E2373">
        <v>0.53102746693794511</v>
      </c>
    </row>
    <row r="2374" spans="1:5" x14ac:dyDescent="0.25">
      <c r="A2374" t="s">
        <v>572</v>
      </c>
      <c r="B2374" t="s">
        <v>16</v>
      </c>
      <c r="E2374">
        <v>24</v>
      </c>
    </row>
    <row r="2375" spans="1:5" x14ac:dyDescent="0.25">
      <c r="A2375" t="s">
        <v>572</v>
      </c>
      <c r="B2375" t="s">
        <v>285</v>
      </c>
      <c r="E2375">
        <v>979</v>
      </c>
    </row>
    <row r="2376" spans="1:5" x14ac:dyDescent="0.25">
      <c r="A2376" t="s">
        <v>623</v>
      </c>
      <c r="B2376" t="s">
        <v>16</v>
      </c>
      <c r="C2376" t="s">
        <v>4</v>
      </c>
      <c r="D2376" t="s">
        <v>24</v>
      </c>
      <c r="E2376">
        <v>472.59</v>
      </c>
    </row>
    <row r="2377" spans="1:5" x14ac:dyDescent="0.25">
      <c r="A2377" t="s">
        <v>623</v>
      </c>
      <c r="B2377" t="s">
        <v>16</v>
      </c>
      <c r="C2377" t="s">
        <v>4</v>
      </c>
      <c r="D2377" t="s">
        <v>24</v>
      </c>
      <c r="E2377">
        <v>14.84</v>
      </c>
    </row>
    <row r="2378" spans="1:5" x14ac:dyDescent="0.25">
      <c r="A2378" t="s">
        <v>623</v>
      </c>
      <c r="B2378" t="s">
        <v>288</v>
      </c>
      <c r="C2378" t="s">
        <v>4</v>
      </c>
      <c r="D2378" t="s">
        <v>24</v>
      </c>
      <c r="E2378">
        <v>293.88000000000005</v>
      </c>
    </row>
    <row r="2379" spans="1:5" x14ac:dyDescent="0.25">
      <c r="A2379" t="s">
        <v>623</v>
      </c>
      <c r="B2379" t="s">
        <v>288</v>
      </c>
      <c r="C2379" t="s">
        <v>4</v>
      </c>
      <c r="D2379" t="s">
        <v>24</v>
      </c>
      <c r="E2379">
        <v>1.37</v>
      </c>
    </row>
    <row r="2380" spans="1:5" x14ac:dyDescent="0.25">
      <c r="A2380" t="s">
        <v>623</v>
      </c>
      <c r="B2380" t="s">
        <v>285</v>
      </c>
      <c r="C2380" t="s">
        <v>4</v>
      </c>
      <c r="D2380" t="s">
        <v>24</v>
      </c>
      <c r="E2380">
        <v>474.44000000000005</v>
      </c>
    </row>
    <row r="2381" spans="1:5" x14ac:dyDescent="0.25">
      <c r="A2381" t="s">
        <v>623</v>
      </c>
      <c r="B2381" t="s">
        <v>285</v>
      </c>
      <c r="C2381" t="s">
        <v>4</v>
      </c>
      <c r="D2381" t="s">
        <v>24</v>
      </c>
      <c r="E2381">
        <v>3.83</v>
      </c>
    </row>
    <row r="2382" spans="1:5" x14ac:dyDescent="0.25">
      <c r="A2382" t="s">
        <v>623</v>
      </c>
      <c r="B2382" t="s">
        <v>16</v>
      </c>
      <c r="C2382" t="s">
        <v>5</v>
      </c>
      <c r="D2382" t="s">
        <v>24</v>
      </c>
      <c r="E2382">
        <v>203.39</v>
      </c>
    </row>
    <row r="2383" spans="1:5" x14ac:dyDescent="0.25">
      <c r="A2383" t="s">
        <v>623</v>
      </c>
      <c r="B2383" t="s">
        <v>288</v>
      </c>
      <c r="C2383" t="s">
        <v>5</v>
      </c>
      <c r="D2383" t="s">
        <v>24</v>
      </c>
      <c r="E2383">
        <v>109.80999999999999</v>
      </c>
    </row>
    <row r="2384" spans="1:5" x14ac:dyDescent="0.25">
      <c r="A2384" t="s">
        <v>623</v>
      </c>
      <c r="B2384" t="s">
        <v>285</v>
      </c>
      <c r="C2384" t="s">
        <v>5</v>
      </c>
      <c r="D2384" t="s">
        <v>24</v>
      </c>
      <c r="E2384">
        <v>188.16000000000003</v>
      </c>
    </row>
    <row r="2385" spans="1:5" x14ac:dyDescent="0.25">
      <c r="A2385" t="s">
        <v>623</v>
      </c>
      <c r="B2385" t="s">
        <v>16</v>
      </c>
      <c r="C2385" t="s">
        <v>18</v>
      </c>
      <c r="D2385" t="s">
        <v>24</v>
      </c>
      <c r="E2385">
        <v>107.20000000000002</v>
      </c>
    </row>
    <row r="2386" spans="1:5" x14ac:dyDescent="0.25">
      <c r="A2386" t="s">
        <v>623</v>
      </c>
      <c r="B2386" t="s">
        <v>285</v>
      </c>
      <c r="C2386" t="s">
        <v>18</v>
      </c>
      <c r="D2386" t="s">
        <v>24</v>
      </c>
      <c r="E2386">
        <v>2.4900000000000002</v>
      </c>
    </row>
    <row r="2387" spans="1:5" x14ac:dyDescent="0.25">
      <c r="A2387" t="s">
        <v>623</v>
      </c>
      <c r="B2387" t="s">
        <v>16</v>
      </c>
      <c r="C2387" t="s">
        <v>4</v>
      </c>
      <c r="D2387" t="s">
        <v>17</v>
      </c>
      <c r="E2387">
        <v>1061</v>
      </c>
    </row>
    <row r="2388" spans="1:5" x14ac:dyDescent="0.25">
      <c r="A2388" t="s">
        <v>623</v>
      </c>
      <c r="B2388" t="s">
        <v>16</v>
      </c>
      <c r="C2388" t="s">
        <v>5</v>
      </c>
      <c r="D2388" t="s">
        <v>17</v>
      </c>
      <c r="E2388">
        <v>25</v>
      </c>
    </row>
    <row r="2389" spans="1:5" x14ac:dyDescent="0.25">
      <c r="A2389" t="s">
        <v>623</v>
      </c>
      <c r="B2389" t="s">
        <v>16</v>
      </c>
      <c r="C2389" t="s">
        <v>18</v>
      </c>
      <c r="D2389" t="s">
        <v>17</v>
      </c>
      <c r="E2389">
        <v>7</v>
      </c>
    </row>
    <row r="2390" spans="1:5" x14ac:dyDescent="0.25">
      <c r="A2390" t="s">
        <v>623</v>
      </c>
      <c r="B2390" t="s">
        <v>16</v>
      </c>
      <c r="D2390" t="s">
        <v>17</v>
      </c>
      <c r="E2390">
        <v>4</v>
      </c>
    </row>
    <row r="2391" spans="1:5" x14ac:dyDescent="0.25">
      <c r="A2391" t="s">
        <v>623</v>
      </c>
      <c r="B2391" t="s">
        <v>288</v>
      </c>
      <c r="C2391" t="s">
        <v>4</v>
      </c>
      <c r="D2391" t="s">
        <v>17</v>
      </c>
      <c r="E2391">
        <v>173</v>
      </c>
    </row>
    <row r="2392" spans="1:5" x14ac:dyDescent="0.25">
      <c r="A2392" t="s">
        <v>623</v>
      </c>
      <c r="B2392" t="s">
        <v>288</v>
      </c>
      <c r="C2392" t="s">
        <v>5</v>
      </c>
      <c r="D2392" t="s">
        <v>17</v>
      </c>
      <c r="E2392">
        <v>29</v>
      </c>
    </row>
    <row r="2393" spans="1:5" x14ac:dyDescent="0.25">
      <c r="A2393" t="s">
        <v>623</v>
      </c>
      <c r="B2393" t="s">
        <v>288</v>
      </c>
      <c r="C2393" t="s">
        <v>18</v>
      </c>
      <c r="D2393" t="s">
        <v>17</v>
      </c>
      <c r="E2393">
        <v>6</v>
      </c>
    </row>
    <row r="2394" spans="1:5" x14ac:dyDescent="0.25">
      <c r="A2394" t="s">
        <v>623</v>
      </c>
      <c r="B2394" t="s">
        <v>288</v>
      </c>
      <c r="C2394" t="s">
        <v>19</v>
      </c>
      <c r="D2394" t="s">
        <v>17</v>
      </c>
      <c r="E2394">
        <v>0</v>
      </c>
    </row>
    <row r="2395" spans="1:5" x14ac:dyDescent="0.25">
      <c r="A2395" t="s">
        <v>623</v>
      </c>
      <c r="B2395" t="s">
        <v>285</v>
      </c>
      <c r="C2395" t="s">
        <v>4</v>
      </c>
      <c r="D2395" t="s">
        <v>17</v>
      </c>
      <c r="E2395">
        <v>66</v>
      </c>
    </row>
    <row r="2396" spans="1:5" x14ac:dyDescent="0.25">
      <c r="A2396" t="s">
        <v>623</v>
      </c>
      <c r="B2396" t="s">
        <v>288</v>
      </c>
      <c r="D2396" t="s">
        <v>17</v>
      </c>
      <c r="E2396">
        <v>0</v>
      </c>
    </row>
    <row r="2397" spans="1:5" x14ac:dyDescent="0.25">
      <c r="A2397" t="s">
        <v>623</v>
      </c>
      <c r="B2397" t="s">
        <v>285</v>
      </c>
      <c r="D2397" t="s">
        <v>17</v>
      </c>
      <c r="E2397">
        <v>3</v>
      </c>
    </row>
    <row r="2398" spans="1:5" x14ac:dyDescent="0.25">
      <c r="A2398" t="s">
        <v>623</v>
      </c>
      <c r="B2398" t="s">
        <v>285</v>
      </c>
      <c r="C2398" t="s">
        <v>5</v>
      </c>
      <c r="D2398" t="s">
        <v>17</v>
      </c>
      <c r="E2398">
        <v>120</v>
      </c>
    </row>
    <row r="2399" spans="1:5" x14ac:dyDescent="0.25">
      <c r="A2399" t="s">
        <v>623</v>
      </c>
      <c r="B2399" t="s">
        <v>285</v>
      </c>
      <c r="C2399" t="s">
        <v>18</v>
      </c>
      <c r="D2399" t="s">
        <v>17</v>
      </c>
      <c r="E2399">
        <v>59</v>
      </c>
    </row>
    <row r="2400" spans="1:5" x14ac:dyDescent="0.25">
      <c r="A2400" t="s">
        <v>623</v>
      </c>
      <c r="B2400" t="s">
        <v>16</v>
      </c>
      <c r="C2400" t="s">
        <v>4</v>
      </c>
      <c r="D2400" t="s">
        <v>59</v>
      </c>
      <c r="E2400" t="s">
        <v>626</v>
      </c>
    </row>
    <row r="2401" spans="1:5" x14ac:dyDescent="0.25">
      <c r="A2401" t="s">
        <v>623</v>
      </c>
      <c r="B2401" t="s">
        <v>16</v>
      </c>
      <c r="C2401" t="s">
        <v>4</v>
      </c>
      <c r="D2401" t="s">
        <v>63</v>
      </c>
      <c r="E2401" t="s">
        <v>627</v>
      </c>
    </row>
    <row r="2402" spans="1:5" x14ac:dyDescent="0.25">
      <c r="A2402" t="s">
        <v>623</v>
      </c>
      <c r="B2402" t="s">
        <v>16</v>
      </c>
      <c r="C2402" t="s">
        <v>4</v>
      </c>
      <c r="D2402" t="s">
        <v>67</v>
      </c>
      <c r="E2402" t="s">
        <v>628</v>
      </c>
    </row>
    <row r="2403" spans="1:5" x14ac:dyDescent="0.25">
      <c r="A2403" t="s">
        <v>623</v>
      </c>
      <c r="B2403" t="s">
        <v>16</v>
      </c>
      <c r="C2403" t="s">
        <v>4</v>
      </c>
      <c r="D2403" t="s">
        <v>233</v>
      </c>
      <c r="E2403" t="s">
        <v>629</v>
      </c>
    </row>
    <row r="2404" spans="1:5" x14ac:dyDescent="0.25">
      <c r="A2404" t="s">
        <v>623</v>
      </c>
      <c r="B2404" t="s">
        <v>16</v>
      </c>
      <c r="C2404" t="s">
        <v>4</v>
      </c>
      <c r="D2404" t="s">
        <v>239</v>
      </c>
      <c r="E2404" t="s">
        <v>630</v>
      </c>
    </row>
    <row r="2405" spans="1:5" x14ac:dyDescent="0.25">
      <c r="A2405" t="s">
        <v>623</v>
      </c>
      <c r="B2405" t="s">
        <v>16</v>
      </c>
      <c r="C2405" t="s">
        <v>18</v>
      </c>
      <c r="D2405" t="s">
        <v>59</v>
      </c>
      <c r="E2405" t="s">
        <v>631</v>
      </c>
    </row>
    <row r="2406" spans="1:5" x14ac:dyDescent="0.25">
      <c r="A2406" t="s">
        <v>623</v>
      </c>
      <c r="B2406" t="s">
        <v>16</v>
      </c>
      <c r="C2406" t="s">
        <v>18</v>
      </c>
      <c r="D2406" t="s">
        <v>63</v>
      </c>
      <c r="E2406" t="s">
        <v>632</v>
      </c>
    </row>
    <row r="2407" spans="1:5" x14ac:dyDescent="0.25">
      <c r="A2407" t="s">
        <v>623</v>
      </c>
      <c r="B2407" t="s">
        <v>16</v>
      </c>
      <c r="C2407" t="s">
        <v>18</v>
      </c>
      <c r="D2407" t="s">
        <v>67</v>
      </c>
      <c r="E2407" t="s">
        <v>633</v>
      </c>
    </row>
    <row r="2408" spans="1:5" x14ac:dyDescent="0.25">
      <c r="A2408" t="s">
        <v>623</v>
      </c>
      <c r="B2408" t="s">
        <v>16</v>
      </c>
      <c r="C2408" t="s">
        <v>18</v>
      </c>
      <c r="D2408" t="s">
        <v>233</v>
      </c>
      <c r="E2408" t="s">
        <v>634</v>
      </c>
    </row>
    <row r="2409" spans="1:5" x14ac:dyDescent="0.25">
      <c r="A2409" t="s">
        <v>623</v>
      </c>
      <c r="B2409" t="s">
        <v>16</v>
      </c>
      <c r="C2409" t="s">
        <v>5</v>
      </c>
      <c r="D2409" t="s">
        <v>59</v>
      </c>
      <c r="E2409" t="s">
        <v>635</v>
      </c>
    </row>
    <row r="2410" spans="1:5" x14ac:dyDescent="0.25">
      <c r="A2410" t="s">
        <v>623</v>
      </c>
      <c r="B2410" t="s">
        <v>16</v>
      </c>
      <c r="C2410" t="s">
        <v>5</v>
      </c>
      <c r="D2410" t="s">
        <v>63</v>
      </c>
      <c r="E2410" t="s">
        <v>636</v>
      </c>
    </row>
    <row r="2411" spans="1:5" x14ac:dyDescent="0.25">
      <c r="A2411" t="s">
        <v>623</v>
      </c>
      <c r="B2411" t="s">
        <v>16</v>
      </c>
      <c r="C2411" t="s">
        <v>5</v>
      </c>
      <c r="D2411" t="s">
        <v>67</v>
      </c>
      <c r="E2411" t="s">
        <v>637</v>
      </c>
    </row>
    <row r="2412" spans="1:5" x14ac:dyDescent="0.25">
      <c r="A2412" t="s">
        <v>623</v>
      </c>
      <c r="B2412" t="s">
        <v>16</v>
      </c>
      <c r="C2412" t="s">
        <v>5</v>
      </c>
      <c r="D2412" t="s">
        <v>233</v>
      </c>
      <c r="E2412" t="s">
        <v>638</v>
      </c>
    </row>
    <row r="2413" spans="1:5" x14ac:dyDescent="0.25">
      <c r="A2413" t="s">
        <v>623</v>
      </c>
      <c r="B2413" t="s">
        <v>16</v>
      </c>
      <c r="C2413" t="s">
        <v>5</v>
      </c>
      <c r="D2413" t="s">
        <v>239</v>
      </c>
      <c r="E2413" t="s">
        <v>639</v>
      </c>
    </row>
    <row r="2414" spans="1:5" x14ac:dyDescent="0.25">
      <c r="A2414" t="s">
        <v>623</v>
      </c>
      <c r="B2414" t="s">
        <v>16</v>
      </c>
      <c r="D2414" t="s">
        <v>59</v>
      </c>
      <c r="E2414" t="s">
        <v>640</v>
      </c>
    </row>
    <row r="2415" spans="1:5" x14ac:dyDescent="0.25">
      <c r="A2415" t="s">
        <v>623</v>
      </c>
      <c r="B2415" t="s">
        <v>16</v>
      </c>
      <c r="D2415" t="s">
        <v>63</v>
      </c>
      <c r="E2415" t="s">
        <v>641</v>
      </c>
    </row>
    <row r="2416" spans="1:5" x14ac:dyDescent="0.25">
      <c r="A2416" t="s">
        <v>623</v>
      </c>
      <c r="B2416" t="s">
        <v>16</v>
      </c>
      <c r="D2416" t="s">
        <v>67</v>
      </c>
      <c r="E2416" t="s">
        <v>642</v>
      </c>
    </row>
    <row r="2417" spans="1:5" x14ac:dyDescent="0.25">
      <c r="A2417" t="s">
        <v>623</v>
      </c>
      <c r="B2417" t="s">
        <v>288</v>
      </c>
      <c r="C2417" t="s">
        <v>4</v>
      </c>
      <c r="D2417" t="s">
        <v>59</v>
      </c>
      <c r="E2417" t="s">
        <v>643</v>
      </c>
    </row>
    <row r="2418" spans="1:5" x14ac:dyDescent="0.25">
      <c r="A2418" t="s">
        <v>623</v>
      </c>
      <c r="B2418" t="s">
        <v>288</v>
      </c>
      <c r="C2418" t="s">
        <v>4</v>
      </c>
      <c r="D2418" t="s">
        <v>63</v>
      </c>
      <c r="E2418" t="s">
        <v>644</v>
      </c>
    </row>
    <row r="2419" spans="1:5" x14ac:dyDescent="0.25">
      <c r="A2419" t="s">
        <v>623</v>
      </c>
      <c r="B2419" t="s">
        <v>288</v>
      </c>
      <c r="C2419" t="s">
        <v>4</v>
      </c>
      <c r="D2419" t="s">
        <v>67</v>
      </c>
      <c r="E2419" t="s">
        <v>645</v>
      </c>
    </row>
    <row r="2420" spans="1:5" x14ac:dyDescent="0.25">
      <c r="A2420" t="s">
        <v>623</v>
      </c>
      <c r="B2420" t="s">
        <v>288</v>
      </c>
      <c r="C2420" t="s">
        <v>4</v>
      </c>
      <c r="D2420" t="s">
        <v>233</v>
      </c>
      <c r="E2420" t="s">
        <v>646</v>
      </c>
    </row>
    <row r="2421" spans="1:5" x14ac:dyDescent="0.25">
      <c r="A2421" t="s">
        <v>623</v>
      </c>
      <c r="B2421" t="s">
        <v>288</v>
      </c>
      <c r="C2421" t="s">
        <v>4</v>
      </c>
      <c r="D2421" t="s">
        <v>239</v>
      </c>
      <c r="E2421" t="s">
        <v>647</v>
      </c>
    </row>
    <row r="2422" spans="1:5" x14ac:dyDescent="0.25">
      <c r="A2422" t="s">
        <v>623</v>
      </c>
      <c r="B2422" t="s">
        <v>288</v>
      </c>
      <c r="C2422" t="s">
        <v>5</v>
      </c>
      <c r="D2422" t="s">
        <v>59</v>
      </c>
      <c r="E2422" t="s">
        <v>648</v>
      </c>
    </row>
    <row r="2423" spans="1:5" x14ac:dyDescent="0.25">
      <c r="A2423" t="s">
        <v>623</v>
      </c>
      <c r="B2423" t="s">
        <v>288</v>
      </c>
      <c r="C2423" t="s">
        <v>5</v>
      </c>
      <c r="D2423" t="s">
        <v>63</v>
      </c>
      <c r="E2423" t="s">
        <v>649</v>
      </c>
    </row>
    <row r="2424" spans="1:5" x14ac:dyDescent="0.25">
      <c r="A2424" t="s">
        <v>623</v>
      </c>
      <c r="B2424" t="s">
        <v>288</v>
      </c>
      <c r="C2424" t="s">
        <v>5</v>
      </c>
      <c r="D2424" t="s">
        <v>67</v>
      </c>
      <c r="E2424" t="s">
        <v>650</v>
      </c>
    </row>
    <row r="2425" spans="1:5" x14ac:dyDescent="0.25">
      <c r="A2425" t="s">
        <v>623</v>
      </c>
      <c r="B2425" t="s">
        <v>288</v>
      </c>
      <c r="C2425" t="s">
        <v>5</v>
      </c>
      <c r="D2425" t="s">
        <v>233</v>
      </c>
      <c r="E2425" t="s">
        <v>651</v>
      </c>
    </row>
    <row r="2426" spans="1:5" x14ac:dyDescent="0.25">
      <c r="A2426" t="s">
        <v>623</v>
      </c>
      <c r="B2426" t="s">
        <v>288</v>
      </c>
      <c r="C2426" t="s">
        <v>5</v>
      </c>
      <c r="D2426" t="s">
        <v>239</v>
      </c>
      <c r="E2426" t="s">
        <v>652</v>
      </c>
    </row>
    <row r="2427" spans="1:5" x14ac:dyDescent="0.25">
      <c r="A2427" t="s">
        <v>623</v>
      </c>
      <c r="B2427" t="s">
        <v>288</v>
      </c>
      <c r="C2427" t="s">
        <v>18</v>
      </c>
      <c r="D2427" t="s">
        <v>59</v>
      </c>
      <c r="E2427" t="s">
        <v>653</v>
      </c>
    </row>
    <row r="2428" spans="1:5" x14ac:dyDescent="0.25">
      <c r="A2428" t="s">
        <v>623</v>
      </c>
      <c r="B2428" t="s">
        <v>288</v>
      </c>
      <c r="C2428" t="s">
        <v>18</v>
      </c>
      <c r="D2428" t="s">
        <v>63</v>
      </c>
      <c r="E2428" t="s">
        <v>654</v>
      </c>
    </row>
    <row r="2429" spans="1:5" x14ac:dyDescent="0.25">
      <c r="A2429" t="s">
        <v>623</v>
      </c>
      <c r="B2429" t="s">
        <v>288</v>
      </c>
      <c r="C2429" t="s">
        <v>18</v>
      </c>
      <c r="D2429" t="s">
        <v>67</v>
      </c>
      <c r="E2429" t="s">
        <v>655</v>
      </c>
    </row>
    <row r="2430" spans="1:5" x14ac:dyDescent="0.25">
      <c r="A2430" t="s">
        <v>623</v>
      </c>
      <c r="B2430" t="s">
        <v>288</v>
      </c>
      <c r="C2430" t="s">
        <v>18</v>
      </c>
      <c r="D2430" t="s">
        <v>233</v>
      </c>
      <c r="E2430" t="s">
        <v>656</v>
      </c>
    </row>
    <row r="2431" spans="1:5" x14ac:dyDescent="0.25">
      <c r="A2431" t="s">
        <v>623</v>
      </c>
      <c r="B2431" t="s">
        <v>288</v>
      </c>
      <c r="C2431" t="s">
        <v>19</v>
      </c>
      <c r="D2431" t="s">
        <v>59</v>
      </c>
      <c r="E2431" t="s">
        <v>657</v>
      </c>
    </row>
    <row r="2432" spans="1:5" x14ac:dyDescent="0.25">
      <c r="A2432" t="s">
        <v>623</v>
      </c>
      <c r="B2432" t="s">
        <v>285</v>
      </c>
      <c r="C2432" t="s">
        <v>4</v>
      </c>
      <c r="D2432" t="s">
        <v>59</v>
      </c>
      <c r="E2432" t="s">
        <v>658</v>
      </c>
    </row>
    <row r="2433" spans="1:5" x14ac:dyDescent="0.25">
      <c r="A2433" t="s">
        <v>623</v>
      </c>
      <c r="B2433" t="s">
        <v>285</v>
      </c>
      <c r="C2433" t="s">
        <v>4</v>
      </c>
      <c r="D2433" t="s">
        <v>63</v>
      </c>
      <c r="E2433" t="s">
        <v>659</v>
      </c>
    </row>
    <row r="2434" spans="1:5" x14ac:dyDescent="0.25">
      <c r="A2434" t="s">
        <v>623</v>
      </c>
      <c r="B2434" t="s">
        <v>285</v>
      </c>
      <c r="C2434" t="s">
        <v>4</v>
      </c>
      <c r="D2434" t="s">
        <v>67</v>
      </c>
      <c r="E2434" t="s">
        <v>660</v>
      </c>
    </row>
    <row r="2435" spans="1:5" x14ac:dyDescent="0.25">
      <c r="A2435" t="s">
        <v>623</v>
      </c>
      <c r="B2435" t="s">
        <v>285</v>
      </c>
      <c r="C2435" t="s">
        <v>4</v>
      </c>
      <c r="D2435" t="s">
        <v>233</v>
      </c>
      <c r="E2435" t="s">
        <v>661</v>
      </c>
    </row>
    <row r="2436" spans="1:5" x14ac:dyDescent="0.25">
      <c r="A2436" t="s">
        <v>623</v>
      </c>
      <c r="B2436" t="s">
        <v>285</v>
      </c>
      <c r="C2436" t="s">
        <v>4</v>
      </c>
      <c r="D2436" t="s">
        <v>239</v>
      </c>
      <c r="E2436" t="s">
        <v>662</v>
      </c>
    </row>
    <row r="2437" spans="1:5" x14ac:dyDescent="0.25">
      <c r="A2437" t="s">
        <v>623</v>
      </c>
      <c r="B2437" t="s">
        <v>285</v>
      </c>
      <c r="C2437" t="s">
        <v>5</v>
      </c>
      <c r="D2437" t="s">
        <v>59</v>
      </c>
      <c r="E2437" t="s">
        <v>663</v>
      </c>
    </row>
    <row r="2438" spans="1:5" x14ac:dyDescent="0.25">
      <c r="A2438" t="s">
        <v>623</v>
      </c>
      <c r="B2438" t="s">
        <v>285</v>
      </c>
      <c r="C2438" t="s">
        <v>5</v>
      </c>
      <c r="D2438" t="s">
        <v>63</v>
      </c>
      <c r="E2438" t="s">
        <v>664</v>
      </c>
    </row>
    <row r="2439" spans="1:5" x14ac:dyDescent="0.25">
      <c r="A2439" t="s">
        <v>623</v>
      </c>
      <c r="B2439" t="s">
        <v>285</v>
      </c>
      <c r="C2439" t="s">
        <v>5</v>
      </c>
      <c r="D2439" t="s">
        <v>67</v>
      </c>
      <c r="E2439" t="s">
        <v>665</v>
      </c>
    </row>
    <row r="2440" spans="1:5" x14ac:dyDescent="0.25">
      <c r="A2440" t="s">
        <v>623</v>
      </c>
      <c r="B2440" t="s">
        <v>285</v>
      </c>
      <c r="C2440" t="s">
        <v>5</v>
      </c>
      <c r="D2440" t="s">
        <v>233</v>
      </c>
      <c r="E2440" t="s">
        <v>666</v>
      </c>
    </row>
    <row r="2441" spans="1:5" x14ac:dyDescent="0.25">
      <c r="A2441" t="s">
        <v>623</v>
      </c>
      <c r="B2441" t="s">
        <v>285</v>
      </c>
      <c r="C2441" t="s">
        <v>5</v>
      </c>
      <c r="D2441" t="s">
        <v>239</v>
      </c>
      <c r="E2441" t="s">
        <v>667</v>
      </c>
    </row>
    <row r="2442" spans="1:5" x14ac:dyDescent="0.25">
      <c r="A2442" t="s">
        <v>623</v>
      </c>
      <c r="B2442" t="s">
        <v>285</v>
      </c>
      <c r="C2442" t="s">
        <v>18</v>
      </c>
      <c r="D2442" t="s">
        <v>59</v>
      </c>
      <c r="E2442" t="s">
        <v>668</v>
      </c>
    </row>
    <row r="2443" spans="1:5" x14ac:dyDescent="0.25">
      <c r="A2443" t="s">
        <v>623</v>
      </c>
      <c r="B2443" t="s">
        <v>285</v>
      </c>
      <c r="C2443" t="s">
        <v>18</v>
      </c>
      <c r="D2443" t="s">
        <v>63</v>
      </c>
      <c r="E2443" t="s">
        <v>669</v>
      </c>
    </row>
    <row r="2444" spans="1:5" x14ac:dyDescent="0.25">
      <c r="A2444" t="s">
        <v>623</v>
      </c>
      <c r="B2444" t="s">
        <v>285</v>
      </c>
      <c r="C2444" t="s">
        <v>18</v>
      </c>
      <c r="D2444" t="s">
        <v>67</v>
      </c>
      <c r="E2444" t="s">
        <v>670</v>
      </c>
    </row>
    <row r="2445" spans="1:5" x14ac:dyDescent="0.25">
      <c r="A2445" t="s">
        <v>623</v>
      </c>
      <c r="B2445" t="s">
        <v>285</v>
      </c>
      <c r="C2445" t="s">
        <v>18</v>
      </c>
      <c r="D2445" t="s">
        <v>233</v>
      </c>
      <c r="E2445" t="s">
        <v>671</v>
      </c>
    </row>
    <row r="2446" spans="1:5" x14ac:dyDescent="0.25">
      <c r="A2446" t="s">
        <v>623</v>
      </c>
      <c r="B2446" t="s">
        <v>285</v>
      </c>
      <c r="D2446" t="s">
        <v>59</v>
      </c>
      <c r="E2446" t="s">
        <v>672</v>
      </c>
    </row>
    <row r="2447" spans="1:5" x14ac:dyDescent="0.25">
      <c r="A2447" t="s">
        <v>623</v>
      </c>
      <c r="B2447" t="s">
        <v>285</v>
      </c>
      <c r="D2447" t="s">
        <v>63</v>
      </c>
      <c r="E2447" t="s">
        <v>673</v>
      </c>
    </row>
    <row r="2448" spans="1:5" x14ac:dyDescent="0.25">
      <c r="A2448" t="s">
        <v>623</v>
      </c>
      <c r="B2448" t="s">
        <v>285</v>
      </c>
      <c r="D2448" t="s">
        <v>67</v>
      </c>
      <c r="E2448" t="s">
        <v>674</v>
      </c>
    </row>
    <row r="2449" spans="1:5" x14ac:dyDescent="0.25">
      <c r="A2449" t="s">
        <v>623</v>
      </c>
      <c r="B2449" t="s">
        <v>285</v>
      </c>
      <c r="D2449" t="s">
        <v>233</v>
      </c>
      <c r="E2449" t="s">
        <v>675</v>
      </c>
    </row>
    <row r="2450" spans="1:5" x14ac:dyDescent="0.25">
      <c r="A2450" t="s">
        <v>623</v>
      </c>
      <c r="B2450" t="s">
        <v>285</v>
      </c>
      <c r="D2450" t="s">
        <v>239</v>
      </c>
      <c r="E2450" t="s">
        <v>676</v>
      </c>
    </row>
    <row r="2451" spans="1:5" x14ac:dyDescent="0.25">
      <c r="A2451" t="s">
        <v>623</v>
      </c>
      <c r="B2451" t="s">
        <v>16</v>
      </c>
      <c r="C2451" t="s">
        <v>4</v>
      </c>
      <c r="D2451" t="s">
        <v>21</v>
      </c>
      <c r="E2451">
        <v>0.98622651396062577</v>
      </c>
    </row>
    <row r="2452" spans="1:5" x14ac:dyDescent="0.25">
      <c r="A2452" t="s">
        <v>623</v>
      </c>
      <c r="B2452" t="s">
        <v>16</v>
      </c>
      <c r="C2452" t="s">
        <v>5</v>
      </c>
      <c r="D2452" t="s">
        <v>21</v>
      </c>
      <c r="E2452">
        <v>0.97131496733882416</v>
      </c>
    </row>
    <row r="2453" spans="1:5" x14ac:dyDescent="0.25">
      <c r="A2453" t="s">
        <v>623</v>
      </c>
      <c r="B2453" t="s">
        <v>16</v>
      </c>
      <c r="C2453" t="s">
        <v>18</v>
      </c>
      <c r="D2453" t="s">
        <v>21</v>
      </c>
      <c r="E2453">
        <v>0.24296962879640044</v>
      </c>
    </row>
    <row r="2454" spans="1:5" x14ac:dyDescent="0.25">
      <c r="A2454" t="s">
        <v>623</v>
      </c>
      <c r="B2454" t="s">
        <v>16</v>
      </c>
      <c r="D2454" t="s">
        <v>21</v>
      </c>
      <c r="E2454">
        <v>1</v>
      </c>
    </row>
    <row r="2455" spans="1:5" x14ac:dyDescent="0.25">
      <c r="A2455" t="s">
        <v>623</v>
      </c>
      <c r="B2455" t="s">
        <v>288</v>
      </c>
      <c r="C2455" t="s">
        <v>4</v>
      </c>
      <c r="D2455" t="s">
        <v>21</v>
      </c>
      <c r="E2455">
        <v>1</v>
      </c>
    </row>
    <row r="2456" spans="1:5" x14ac:dyDescent="0.25">
      <c r="A2456" t="s">
        <v>623</v>
      </c>
      <c r="B2456" t="s">
        <v>288</v>
      </c>
      <c r="C2456" t="s">
        <v>5</v>
      </c>
      <c r="D2456" t="s">
        <v>21</v>
      </c>
      <c r="E2456">
        <v>1</v>
      </c>
    </row>
    <row r="2457" spans="1:5" x14ac:dyDescent="0.25">
      <c r="A2457" t="s">
        <v>623</v>
      </c>
      <c r="B2457" t="s">
        <v>288</v>
      </c>
      <c r="C2457" t="s">
        <v>18</v>
      </c>
      <c r="D2457" t="s">
        <v>21</v>
      </c>
      <c r="E2457">
        <v>1</v>
      </c>
    </row>
    <row r="2458" spans="1:5" x14ac:dyDescent="0.25">
      <c r="A2458" t="s">
        <v>623</v>
      </c>
      <c r="B2458" t="s">
        <v>288</v>
      </c>
      <c r="C2458" t="s">
        <v>19</v>
      </c>
      <c r="D2458" t="s">
        <v>21</v>
      </c>
      <c r="E2458">
        <v>1</v>
      </c>
    </row>
    <row r="2459" spans="1:5" x14ac:dyDescent="0.25">
      <c r="A2459" t="s">
        <v>623</v>
      </c>
      <c r="B2459" t="s">
        <v>285</v>
      </c>
      <c r="C2459" t="s">
        <v>4</v>
      </c>
      <c r="D2459" t="s">
        <v>21</v>
      </c>
      <c r="E2459">
        <v>0.72619692164900607</v>
      </c>
    </row>
    <row r="2460" spans="1:5" x14ac:dyDescent="0.25">
      <c r="A2460" t="s">
        <v>623</v>
      </c>
      <c r="B2460" t="s">
        <v>285</v>
      </c>
      <c r="D2460" t="s">
        <v>21</v>
      </c>
      <c r="E2460">
        <v>1</v>
      </c>
    </row>
    <row r="2461" spans="1:5" x14ac:dyDescent="0.25">
      <c r="A2461" t="s">
        <v>623</v>
      </c>
      <c r="B2461" t="s">
        <v>285</v>
      </c>
      <c r="C2461" t="s">
        <v>5</v>
      </c>
      <c r="D2461" t="s">
        <v>21</v>
      </c>
      <c r="E2461">
        <v>0.79837775202780992</v>
      </c>
    </row>
    <row r="2462" spans="1:5" x14ac:dyDescent="0.25">
      <c r="A2462" t="s">
        <v>623</v>
      </c>
      <c r="B2462" t="s">
        <v>285</v>
      </c>
      <c r="C2462" t="s">
        <v>18</v>
      </c>
      <c r="D2462" t="s">
        <v>21</v>
      </c>
      <c r="E2462">
        <v>0.62418300653594772</v>
      </c>
    </row>
    <row r="2463" spans="1:5" x14ac:dyDescent="0.25">
      <c r="A2463" t="s">
        <v>623</v>
      </c>
      <c r="B2463" t="s">
        <v>16</v>
      </c>
      <c r="C2463" t="s">
        <v>4</v>
      </c>
      <c r="D2463" t="s">
        <v>38</v>
      </c>
      <c r="E2463">
        <v>0.86238187621252893</v>
      </c>
    </row>
    <row r="2464" spans="1:5" x14ac:dyDescent="0.25">
      <c r="A2464" t="s">
        <v>623</v>
      </c>
      <c r="B2464" t="s">
        <v>16</v>
      </c>
      <c r="C2464" t="s">
        <v>5</v>
      </c>
      <c r="D2464" t="s">
        <v>38</v>
      </c>
      <c r="E2464">
        <v>0.77069096431283224</v>
      </c>
    </row>
    <row r="2465" spans="1:5" x14ac:dyDescent="0.25">
      <c r="A2465" t="s">
        <v>623</v>
      </c>
      <c r="B2465" t="s">
        <v>16</v>
      </c>
      <c r="C2465" t="s">
        <v>4</v>
      </c>
      <c r="D2465" t="s">
        <v>31</v>
      </c>
      <c r="E2465">
        <v>0.90870488322717624</v>
      </c>
    </row>
    <row r="2466" spans="1:5" x14ac:dyDescent="0.25">
      <c r="A2466" t="s">
        <v>623</v>
      </c>
      <c r="B2466" t="s">
        <v>16</v>
      </c>
      <c r="C2466" t="s">
        <v>18</v>
      </c>
      <c r="D2466" t="s">
        <v>38</v>
      </c>
      <c r="E2466">
        <v>0.95892018779342725</v>
      </c>
    </row>
    <row r="2467" spans="1:5" x14ac:dyDescent="0.25">
      <c r="A2467" t="s">
        <v>623</v>
      </c>
      <c r="B2467" t="s">
        <v>16</v>
      </c>
      <c r="C2467" t="s">
        <v>18</v>
      </c>
      <c r="D2467" t="s">
        <v>34</v>
      </c>
      <c r="E2467">
        <v>0.95294117647058818</v>
      </c>
    </row>
    <row r="2468" spans="1:5" x14ac:dyDescent="0.25">
      <c r="A2468" t="s">
        <v>623</v>
      </c>
      <c r="B2468" t="s">
        <v>16</v>
      </c>
      <c r="C2468" t="s">
        <v>5</v>
      </c>
      <c r="D2468" t="s">
        <v>34</v>
      </c>
      <c r="E2468">
        <v>0.9777227722772277</v>
      </c>
    </row>
    <row r="2469" spans="1:5" x14ac:dyDescent="0.25">
      <c r="A2469" t="s">
        <v>623</v>
      </c>
      <c r="B2469" t="s">
        <v>16</v>
      </c>
      <c r="C2469" t="s">
        <v>4</v>
      </c>
      <c r="D2469" t="s">
        <v>503</v>
      </c>
      <c r="E2469">
        <v>0.88235294117647056</v>
      </c>
    </row>
    <row r="2470" spans="1:5" x14ac:dyDescent="0.25">
      <c r="A2470" t="s">
        <v>623</v>
      </c>
      <c r="B2470" t="s">
        <v>16</v>
      </c>
      <c r="E2470">
        <v>0.24731182795698925</v>
      </c>
    </row>
    <row r="2471" spans="1:5" x14ac:dyDescent="0.25">
      <c r="A2471" t="s">
        <v>623</v>
      </c>
      <c r="B2471" t="s">
        <v>16</v>
      </c>
      <c r="C2471" t="s">
        <v>4</v>
      </c>
      <c r="D2471" t="s">
        <v>249</v>
      </c>
      <c r="E2471">
        <v>0.82608695652173914</v>
      </c>
    </row>
    <row r="2472" spans="1:5" x14ac:dyDescent="0.25">
      <c r="A2472" t="s">
        <v>623</v>
      </c>
      <c r="B2472" t="s">
        <v>16</v>
      </c>
      <c r="C2472" t="s">
        <v>4</v>
      </c>
      <c r="D2472" t="s">
        <v>501</v>
      </c>
      <c r="E2472">
        <v>0.66666666666666663</v>
      </c>
    </row>
    <row r="2473" spans="1:5" x14ac:dyDescent="0.25">
      <c r="A2473" t="s">
        <v>623</v>
      </c>
      <c r="B2473" t="s">
        <v>16</v>
      </c>
      <c r="C2473" t="s">
        <v>5</v>
      </c>
      <c r="D2473" t="s">
        <v>31</v>
      </c>
      <c r="E2473">
        <v>0.8</v>
      </c>
    </row>
    <row r="2474" spans="1:5" x14ac:dyDescent="0.25">
      <c r="A2474" t="s">
        <v>623</v>
      </c>
      <c r="B2474" t="s">
        <v>16</v>
      </c>
      <c r="C2474" t="s">
        <v>4</v>
      </c>
      <c r="D2474" t="s">
        <v>29</v>
      </c>
      <c r="E2474">
        <v>0.93137254901960786</v>
      </c>
    </row>
    <row r="2475" spans="1:5" x14ac:dyDescent="0.25">
      <c r="A2475" t="s">
        <v>623</v>
      </c>
      <c r="B2475" t="s">
        <v>16</v>
      </c>
      <c r="C2475" t="s">
        <v>5</v>
      </c>
      <c r="D2475" t="s">
        <v>504</v>
      </c>
      <c r="E2475">
        <v>0.70588235294117652</v>
      </c>
    </row>
    <row r="2476" spans="1:5" x14ac:dyDescent="0.25">
      <c r="A2476" t="s">
        <v>623</v>
      </c>
      <c r="B2476" t="s">
        <v>16</v>
      </c>
      <c r="C2476" t="s">
        <v>4</v>
      </c>
      <c r="D2476" t="s">
        <v>502</v>
      </c>
      <c r="E2476">
        <v>0.27272727272727271</v>
      </c>
    </row>
    <row r="2477" spans="1:5" x14ac:dyDescent="0.25">
      <c r="A2477" t="s">
        <v>623</v>
      </c>
      <c r="B2477" t="s">
        <v>16</v>
      </c>
      <c r="C2477" t="s">
        <v>5</v>
      </c>
      <c r="D2477" t="s">
        <v>502</v>
      </c>
      <c r="E2477">
        <v>0.83333333333333337</v>
      </c>
    </row>
    <row r="2478" spans="1:5" x14ac:dyDescent="0.25">
      <c r="A2478" t="s">
        <v>623</v>
      </c>
      <c r="B2478" t="s">
        <v>288</v>
      </c>
      <c r="C2478" t="s">
        <v>4</v>
      </c>
      <c r="D2478" t="s">
        <v>38</v>
      </c>
      <c r="E2478">
        <v>0.79717128731460041</v>
      </c>
    </row>
    <row r="2479" spans="1:5" x14ac:dyDescent="0.25">
      <c r="A2479" t="s">
        <v>623</v>
      </c>
      <c r="B2479" t="s">
        <v>288</v>
      </c>
      <c r="C2479" t="s">
        <v>4</v>
      </c>
      <c r="D2479" t="s">
        <v>34</v>
      </c>
      <c r="E2479">
        <v>0.77635782747603832</v>
      </c>
    </row>
    <row r="2480" spans="1:5" x14ac:dyDescent="0.25">
      <c r="A2480" t="s">
        <v>623</v>
      </c>
      <c r="B2480" t="s">
        <v>288</v>
      </c>
      <c r="C2480" t="s">
        <v>4</v>
      </c>
      <c r="D2480" t="s">
        <v>29</v>
      </c>
      <c r="E2480">
        <v>0.95876288659793818</v>
      </c>
    </row>
    <row r="2481" spans="1:5" x14ac:dyDescent="0.25">
      <c r="A2481" t="s">
        <v>623</v>
      </c>
      <c r="B2481" t="s">
        <v>288</v>
      </c>
      <c r="C2481" t="s">
        <v>4</v>
      </c>
      <c r="D2481" t="s">
        <v>31</v>
      </c>
      <c r="E2481">
        <v>0.94047619047619047</v>
      </c>
    </row>
    <row r="2482" spans="1:5" x14ac:dyDescent="0.25">
      <c r="A2482" t="s">
        <v>623</v>
      </c>
      <c r="B2482" t="s">
        <v>288</v>
      </c>
      <c r="C2482" t="s">
        <v>5</v>
      </c>
      <c r="D2482" t="s">
        <v>38</v>
      </c>
      <c r="E2482">
        <v>0.8071115440818315</v>
      </c>
    </row>
    <row r="2483" spans="1:5" x14ac:dyDescent="0.25">
      <c r="A2483" t="s">
        <v>623</v>
      </c>
      <c r="B2483" t="s">
        <v>288</v>
      </c>
      <c r="C2483" t="s">
        <v>18</v>
      </c>
      <c r="D2483" t="s">
        <v>38</v>
      </c>
      <c r="E2483">
        <v>0.8315889628924833</v>
      </c>
    </row>
    <row r="2484" spans="1:5" x14ac:dyDescent="0.25">
      <c r="A2484" t="s">
        <v>623</v>
      </c>
      <c r="B2484" t="s">
        <v>288</v>
      </c>
      <c r="C2484" t="s">
        <v>5</v>
      </c>
      <c r="D2484" t="s">
        <v>34</v>
      </c>
      <c r="E2484">
        <v>0.91156462585034015</v>
      </c>
    </row>
    <row r="2485" spans="1:5" x14ac:dyDescent="0.25">
      <c r="A2485" t="s">
        <v>623</v>
      </c>
      <c r="B2485" t="s">
        <v>288</v>
      </c>
      <c r="C2485" t="s">
        <v>19</v>
      </c>
      <c r="D2485" t="s">
        <v>38</v>
      </c>
      <c r="E2485">
        <v>0.95454545454545459</v>
      </c>
    </row>
    <row r="2486" spans="1:5" x14ac:dyDescent="0.25">
      <c r="A2486" t="s">
        <v>623</v>
      </c>
      <c r="B2486" t="s">
        <v>288</v>
      </c>
      <c r="C2486" t="s">
        <v>5</v>
      </c>
      <c r="D2486" t="s">
        <v>31</v>
      </c>
      <c r="E2486">
        <v>0.91111111111111109</v>
      </c>
    </row>
    <row r="2487" spans="1:5" x14ac:dyDescent="0.25">
      <c r="A2487" t="s">
        <v>623</v>
      </c>
      <c r="B2487" t="s">
        <v>288</v>
      </c>
      <c r="C2487" t="s">
        <v>18</v>
      </c>
      <c r="D2487" t="s">
        <v>34</v>
      </c>
      <c r="E2487">
        <v>0.82352941176470584</v>
      </c>
    </row>
    <row r="2488" spans="1:5" x14ac:dyDescent="0.25">
      <c r="A2488" t="s">
        <v>623</v>
      </c>
      <c r="B2488" t="s">
        <v>288</v>
      </c>
      <c r="C2488" t="s">
        <v>4</v>
      </c>
      <c r="D2488" t="s">
        <v>503</v>
      </c>
      <c r="E2488">
        <v>0.98245614035087714</v>
      </c>
    </row>
    <row r="2489" spans="1:5" x14ac:dyDescent="0.25">
      <c r="A2489" t="s">
        <v>623</v>
      </c>
      <c r="B2489" t="s">
        <v>16</v>
      </c>
      <c r="C2489" t="s">
        <v>18</v>
      </c>
      <c r="D2489" t="s">
        <v>502</v>
      </c>
      <c r="E2489">
        <v>0</v>
      </c>
    </row>
    <row r="2490" spans="1:5" x14ac:dyDescent="0.25">
      <c r="A2490" t="s">
        <v>623</v>
      </c>
      <c r="B2490" t="s">
        <v>288</v>
      </c>
      <c r="C2490" t="s">
        <v>4</v>
      </c>
      <c r="D2490" t="s">
        <v>501</v>
      </c>
      <c r="E2490">
        <v>0.28125</v>
      </c>
    </row>
    <row r="2491" spans="1:5" x14ac:dyDescent="0.25">
      <c r="A2491" t="s">
        <v>623</v>
      </c>
      <c r="B2491" t="s">
        <v>288</v>
      </c>
      <c r="C2491" t="s">
        <v>18</v>
      </c>
      <c r="D2491" t="s">
        <v>31</v>
      </c>
      <c r="E2491">
        <v>0.8928571428571429</v>
      </c>
    </row>
    <row r="2492" spans="1:5" x14ac:dyDescent="0.25">
      <c r="A2492" t="s">
        <v>623</v>
      </c>
      <c r="B2492" t="s">
        <v>288</v>
      </c>
      <c r="C2492" t="s">
        <v>4</v>
      </c>
      <c r="D2492" t="s">
        <v>502</v>
      </c>
      <c r="E2492">
        <v>0.65</v>
      </c>
    </row>
    <row r="2493" spans="1:5" x14ac:dyDescent="0.25">
      <c r="A2493" t="s">
        <v>623</v>
      </c>
      <c r="B2493" t="s">
        <v>288</v>
      </c>
      <c r="C2493" t="s">
        <v>5</v>
      </c>
      <c r="D2493" t="s">
        <v>502</v>
      </c>
      <c r="E2493">
        <v>0.75</v>
      </c>
    </row>
    <row r="2494" spans="1:5" x14ac:dyDescent="0.25">
      <c r="A2494" t="s">
        <v>623</v>
      </c>
      <c r="B2494" t="s">
        <v>285</v>
      </c>
      <c r="C2494" t="s">
        <v>4</v>
      </c>
      <c r="D2494" t="s">
        <v>38</v>
      </c>
      <c r="E2494">
        <v>0.86917148362235064</v>
      </c>
    </row>
    <row r="2495" spans="1:5" x14ac:dyDescent="0.25">
      <c r="A2495" t="s">
        <v>623</v>
      </c>
      <c r="B2495" t="s">
        <v>285</v>
      </c>
      <c r="C2495" t="s">
        <v>4</v>
      </c>
      <c r="D2495" t="s">
        <v>249</v>
      </c>
      <c r="E2495">
        <v>0.72907488986784141</v>
      </c>
    </row>
    <row r="2496" spans="1:5" x14ac:dyDescent="0.25">
      <c r="A2496" t="s">
        <v>623</v>
      </c>
      <c r="B2496" t="s">
        <v>285</v>
      </c>
      <c r="C2496" t="s">
        <v>4</v>
      </c>
      <c r="D2496" t="s">
        <v>501</v>
      </c>
      <c r="E2496">
        <v>0.6428571428571429</v>
      </c>
    </row>
    <row r="2497" spans="1:5" x14ac:dyDescent="0.25">
      <c r="A2497" t="s">
        <v>623</v>
      </c>
      <c r="B2497" t="s">
        <v>285</v>
      </c>
      <c r="C2497" t="s">
        <v>4</v>
      </c>
      <c r="D2497" t="s">
        <v>31</v>
      </c>
      <c r="E2497">
        <v>1</v>
      </c>
    </row>
    <row r="2498" spans="1:5" x14ac:dyDescent="0.25">
      <c r="A2498" t="s">
        <v>623</v>
      </c>
      <c r="B2498" t="s">
        <v>285</v>
      </c>
      <c r="C2498" t="s">
        <v>4</v>
      </c>
      <c r="D2498" t="s">
        <v>34</v>
      </c>
      <c r="E2498">
        <v>0.94285714285714284</v>
      </c>
    </row>
    <row r="2499" spans="1:5" x14ac:dyDescent="0.25">
      <c r="A2499" t="s">
        <v>623</v>
      </c>
      <c r="B2499" t="s">
        <v>285</v>
      </c>
      <c r="C2499" t="s">
        <v>4</v>
      </c>
      <c r="D2499" t="s">
        <v>503</v>
      </c>
      <c r="E2499">
        <v>0.88709677419354838</v>
      </c>
    </row>
    <row r="2500" spans="1:5" x14ac:dyDescent="0.25">
      <c r="A2500" t="s">
        <v>623</v>
      </c>
      <c r="B2500" t="s">
        <v>288</v>
      </c>
      <c r="E2500">
        <v>0</v>
      </c>
    </row>
    <row r="2501" spans="1:5" x14ac:dyDescent="0.25">
      <c r="A2501" t="s">
        <v>623</v>
      </c>
      <c r="B2501" t="s">
        <v>285</v>
      </c>
      <c r="C2501" t="s">
        <v>4</v>
      </c>
      <c r="D2501" t="s">
        <v>505</v>
      </c>
      <c r="E2501">
        <v>0.967741935483871</v>
      </c>
    </row>
    <row r="2502" spans="1:5" x14ac:dyDescent="0.25">
      <c r="A2502" t="s">
        <v>623</v>
      </c>
      <c r="B2502" t="s">
        <v>285</v>
      </c>
      <c r="C2502" t="s">
        <v>4</v>
      </c>
      <c r="D2502" t="s">
        <v>29</v>
      </c>
      <c r="E2502">
        <v>1</v>
      </c>
    </row>
    <row r="2503" spans="1:5" x14ac:dyDescent="0.25">
      <c r="A2503" t="s">
        <v>623</v>
      </c>
      <c r="B2503" t="s">
        <v>285</v>
      </c>
      <c r="E2503">
        <v>0.52828282828282824</v>
      </c>
    </row>
    <row r="2504" spans="1:5" x14ac:dyDescent="0.25">
      <c r="A2504" t="s">
        <v>623</v>
      </c>
      <c r="B2504" t="s">
        <v>285</v>
      </c>
      <c r="C2504" t="s">
        <v>5</v>
      </c>
      <c r="D2504" t="s">
        <v>38</v>
      </c>
      <c r="E2504">
        <v>0.8381421534130894</v>
      </c>
    </row>
    <row r="2505" spans="1:5" x14ac:dyDescent="0.25">
      <c r="A2505" t="s">
        <v>623</v>
      </c>
      <c r="B2505" t="s">
        <v>285</v>
      </c>
      <c r="C2505" t="s">
        <v>18</v>
      </c>
      <c r="D2505" t="s">
        <v>31</v>
      </c>
      <c r="E2505">
        <v>0.88571428571428568</v>
      </c>
    </row>
    <row r="2506" spans="1:5" x14ac:dyDescent="0.25">
      <c r="A2506" t="s">
        <v>623</v>
      </c>
      <c r="B2506" t="s">
        <v>285</v>
      </c>
      <c r="C2506" t="s">
        <v>18</v>
      </c>
      <c r="D2506" t="s">
        <v>34</v>
      </c>
      <c r="E2506">
        <v>0.70370370370370372</v>
      </c>
    </row>
    <row r="2507" spans="1:5" x14ac:dyDescent="0.25">
      <c r="A2507" t="s">
        <v>623</v>
      </c>
      <c r="B2507" t="s">
        <v>285</v>
      </c>
      <c r="C2507" t="s">
        <v>18</v>
      </c>
      <c r="D2507" t="s">
        <v>38</v>
      </c>
      <c r="E2507">
        <v>0.85753931544865869</v>
      </c>
    </row>
    <row r="2508" spans="1:5" x14ac:dyDescent="0.25">
      <c r="A2508" t="s">
        <v>623</v>
      </c>
      <c r="B2508" t="s">
        <v>285</v>
      </c>
      <c r="C2508" t="s">
        <v>4</v>
      </c>
      <c r="D2508" t="s">
        <v>504</v>
      </c>
      <c r="E2508">
        <v>0.70899241603466956</v>
      </c>
    </row>
    <row r="2509" spans="1:5" x14ac:dyDescent="0.25">
      <c r="A2509" t="s">
        <v>623</v>
      </c>
      <c r="B2509" t="s">
        <v>16</v>
      </c>
      <c r="C2509" t="s">
        <v>4</v>
      </c>
      <c r="D2509" t="s">
        <v>48</v>
      </c>
      <c r="E2509">
        <v>192669</v>
      </c>
    </row>
    <row r="2510" spans="1:5" x14ac:dyDescent="0.25">
      <c r="A2510" t="s">
        <v>623</v>
      </c>
      <c r="B2510" t="s">
        <v>16</v>
      </c>
      <c r="C2510" t="s">
        <v>4</v>
      </c>
      <c r="D2510" t="s">
        <v>228</v>
      </c>
      <c r="E2510">
        <v>114304</v>
      </c>
    </row>
    <row r="2511" spans="1:5" x14ac:dyDescent="0.25">
      <c r="A2511" t="s">
        <v>623</v>
      </c>
      <c r="B2511" t="s">
        <v>16</v>
      </c>
      <c r="C2511" t="s">
        <v>4</v>
      </c>
      <c r="D2511" t="s">
        <v>229</v>
      </c>
      <c r="E2511">
        <v>151520</v>
      </c>
    </row>
    <row r="2512" spans="1:5" x14ac:dyDescent="0.25">
      <c r="A2512" t="s">
        <v>623</v>
      </c>
      <c r="B2512" t="s">
        <v>16</v>
      </c>
      <c r="C2512" t="s">
        <v>4</v>
      </c>
      <c r="D2512" t="s">
        <v>49</v>
      </c>
      <c r="E2512">
        <v>179905</v>
      </c>
    </row>
    <row r="2513" spans="1:5" x14ac:dyDescent="0.25">
      <c r="A2513" t="s">
        <v>623</v>
      </c>
      <c r="B2513" t="s">
        <v>16</v>
      </c>
      <c r="C2513" t="s">
        <v>18</v>
      </c>
      <c r="D2513" t="s">
        <v>227</v>
      </c>
      <c r="E2513">
        <v>16314</v>
      </c>
    </row>
    <row r="2514" spans="1:5" x14ac:dyDescent="0.25">
      <c r="A2514" t="s">
        <v>623</v>
      </c>
      <c r="B2514" t="s">
        <v>16</v>
      </c>
      <c r="C2514" t="s">
        <v>4</v>
      </c>
      <c r="D2514" t="s">
        <v>226</v>
      </c>
      <c r="E2514">
        <v>551369</v>
      </c>
    </row>
    <row r="2515" spans="1:5" x14ac:dyDescent="0.25">
      <c r="A2515" t="s">
        <v>623</v>
      </c>
      <c r="B2515" t="s">
        <v>16</v>
      </c>
      <c r="C2515" t="s">
        <v>4</v>
      </c>
      <c r="D2515" t="s">
        <v>227</v>
      </c>
      <c r="E2515">
        <v>105871</v>
      </c>
    </row>
    <row r="2516" spans="1:5" x14ac:dyDescent="0.25">
      <c r="A2516" t="s">
        <v>623</v>
      </c>
      <c r="B2516" t="s">
        <v>16</v>
      </c>
      <c r="C2516" t="s">
        <v>5</v>
      </c>
      <c r="D2516" t="s">
        <v>49</v>
      </c>
      <c r="E2516">
        <v>97858</v>
      </c>
    </row>
    <row r="2517" spans="1:5" x14ac:dyDescent="0.25">
      <c r="A2517" t="s">
        <v>623</v>
      </c>
      <c r="B2517" t="s">
        <v>16</v>
      </c>
      <c r="C2517" t="s">
        <v>5</v>
      </c>
      <c r="D2517" t="s">
        <v>50</v>
      </c>
      <c r="E2517">
        <v>49563</v>
      </c>
    </row>
    <row r="2518" spans="1:5" x14ac:dyDescent="0.25">
      <c r="A2518" t="s">
        <v>623</v>
      </c>
      <c r="B2518" t="s">
        <v>16</v>
      </c>
      <c r="C2518" t="s">
        <v>5</v>
      </c>
      <c r="D2518" t="s">
        <v>227</v>
      </c>
      <c r="E2518">
        <v>38623</v>
      </c>
    </row>
    <row r="2519" spans="1:5" x14ac:dyDescent="0.25">
      <c r="A2519" t="s">
        <v>623</v>
      </c>
      <c r="B2519" t="s">
        <v>16</v>
      </c>
      <c r="C2519" t="s">
        <v>18</v>
      </c>
      <c r="D2519" t="s">
        <v>49</v>
      </c>
      <c r="E2519">
        <v>14743</v>
      </c>
    </row>
    <row r="2520" spans="1:5" x14ac:dyDescent="0.25">
      <c r="A2520" t="s">
        <v>623</v>
      </c>
      <c r="B2520" t="s">
        <v>16</v>
      </c>
      <c r="C2520" t="s">
        <v>18</v>
      </c>
      <c r="D2520" t="s">
        <v>229</v>
      </c>
      <c r="E2520">
        <v>11482</v>
      </c>
    </row>
    <row r="2521" spans="1:5" x14ac:dyDescent="0.25">
      <c r="A2521" t="s">
        <v>623</v>
      </c>
      <c r="B2521" t="s">
        <v>16</v>
      </c>
      <c r="C2521" t="s">
        <v>18</v>
      </c>
      <c r="D2521" t="s">
        <v>50</v>
      </c>
      <c r="E2521">
        <v>13013</v>
      </c>
    </row>
    <row r="2522" spans="1:5" x14ac:dyDescent="0.25">
      <c r="A2522" t="s">
        <v>623</v>
      </c>
      <c r="B2522" t="s">
        <v>16</v>
      </c>
      <c r="D2522" t="s">
        <v>226</v>
      </c>
      <c r="E2522">
        <v>3561</v>
      </c>
    </row>
    <row r="2523" spans="1:5" x14ac:dyDescent="0.25">
      <c r="A2523" t="s">
        <v>623</v>
      </c>
      <c r="B2523" t="s">
        <v>16</v>
      </c>
      <c r="C2523" t="s">
        <v>5</v>
      </c>
      <c r="D2523" t="s">
        <v>48</v>
      </c>
      <c r="E2523">
        <v>35713</v>
      </c>
    </row>
    <row r="2524" spans="1:5" x14ac:dyDescent="0.25">
      <c r="A2524" t="s">
        <v>623</v>
      </c>
      <c r="B2524" t="s">
        <v>16</v>
      </c>
      <c r="C2524" t="s">
        <v>5</v>
      </c>
      <c r="D2524" t="s">
        <v>229</v>
      </c>
      <c r="E2524">
        <v>83518</v>
      </c>
    </row>
    <row r="2525" spans="1:5" x14ac:dyDescent="0.25">
      <c r="A2525" t="s">
        <v>623</v>
      </c>
      <c r="B2525" t="s">
        <v>16</v>
      </c>
      <c r="C2525" t="s">
        <v>18</v>
      </c>
      <c r="D2525" t="s">
        <v>226</v>
      </c>
      <c r="E2525">
        <v>34972</v>
      </c>
    </row>
    <row r="2526" spans="1:5" x14ac:dyDescent="0.25">
      <c r="A2526" t="s">
        <v>623</v>
      </c>
      <c r="B2526" t="s">
        <v>16</v>
      </c>
      <c r="C2526" t="s">
        <v>4</v>
      </c>
      <c r="D2526" t="s">
        <v>50</v>
      </c>
      <c r="E2526">
        <v>749</v>
      </c>
    </row>
    <row r="2527" spans="1:5" x14ac:dyDescent="0.25">
      <c r="A2527" t="s">
        <v>623</v>
      </c>
      <c r="B2527" t="s">
        <v>16</v>
      </c>
      <c r="C2527" t="s">
        <v>5</v>
      </c>
      <c r="D2527" t="s">
        <v>226</v>
      </c>
      <c r="E2527">
        <v>420503</v>
      </c>
    </row>
    <row r="2528" spans="1:5" x14ac:dyDescent="0.25">
      <c r="A2528" t="s">
        <v>623</v>
      </c>
      <c r="B2528" t="s">
        <v>288</v>
      </c>
      <c r="C2528" t="s">
        <v>4</v>
      </c>
      <c r="D2528" t="s">
        <v>49</v>
      </c>
      <c r="E2528">
        <v>189078</v>
      </c>
    </row>
    <row r="2529" spans="1:5" x14ac:dyDescent="0.25">
      <c r="A2529" t="s">
        <v>623</v>
      </c>
      <c r="B2529" t="s">
        <v>288</v>
      </c>
      <c r="C2529" t="s">
        <v>4</v>
      </c>
      <c r="D2529" t="s">
        <v>227</v>
      </c>
      <c r="E2529">
        <v>120074</v>
      </c>
    </row>
    <row r="2530" spans="1:5" x14ac:dyDescent="0.25">
      <c r="A2530" t="s">
        <v>623</v>
      </c>
      <c r="B2530" t="s">
        <v>288</v>
      </c>
      <c r="C2530" t="s">
        <v>4</v>
      </c>
      <c r="D2530" t="s">
        <v>290</v>
      </c>
      <c r="E2530">
        <v>97896</v>
      </c>
    </row>
    <row r="2531" spans="1:5" x14ac:dyDescent="0.25">
      <c r="A2531" t="s">
        <v>623</v>
      </c>
      <c r="B2531" t="s">
        <v>288</v>
      </c>
      <c r="C2531" t="s">
        <v>4</v>
      </c>
      <c r="D2531" t="s">
        <v>226</v>
      </c>
      <c r="E2531">
        <v>552872</v>
      </c>
    </row>
    <row r="2532" spans="1:5" x14ac:dyDescent="0.25">
      <c r="A2532" t="s">
        <v>623</v>
      </c>
      <c r="B2532" t="s">
        <v>288</v>
      </c>
      <c r="C2532" t="s">
        <v>5</v>
      </c>
      <c r="D2532" t="s">
        <v>226</v>
      </c>
      <c r="E2532">
        <v>223014</v>
      </c>
    </row>
    <row r="2533" spans="1:5" x14ac:dyDescent="0.25">
      <c r="A2533" t="s">
        <v>623</v>
      </c>
      <c r="B2533" t="s">
        <v>288</v>
      </c>
      <c r="C2533" t="s">
        <v>4</v>
      </c>
      <c r="D2533" t="s">
        <v>48</v>
      </c>
      <c r="E2533">
        <v>74271</v>
      </c>
    </row>
    <row r="2534" spans="1:5" x14ac:dyDescent="0.25">
      <c r="A2534" t="s">
        <v>623</v>
      </c>
      <c r="B2534" t="s">
        <v>288</v>
      </c>
      <c r="C2534" t="s">
        <v>5</v>
      </c>
      <c r="D2534" t="s">
        <v>229</v>
      </c>
      <c r="E2534">
        <v>90149</v>
      </c>
    </row>
    <row r="2535" spans="1:5" x14ac:dyDescent="0.25">
      <c r="A2535" t="s">
        <v>623</v>
      </c>
      <c r="B2535" t="s">
        <v>288</v>
      </c>
      <c r="C2535" t="s">
        <v>4</v>
      </c>
      <c r="D2535" t="s">
        <v>229</v>
      </c>
      <c r="E2535">
        <v>127206</v>
      </c>
    </row>
    <row r="2536" spans="1:5" x14ac:dyDescent="0.25">
      <c r="A2536" t="s">
        <v>623</v>
      </c>
      <c r="B2536" t="s">
        <v>288</v>
      </c>
      <c r="C2536" t="s">
        <v>5</v>
      </c>
      <c r="D2536" t="s">
        <v>227</v>
      </c>
      <c r="E2536">
        <v>97271</v>
      </c>
    </row>
    <row r="2537" spans="1:5" x14ac:dyDescent="0.25">
      <c r="A2537" t="s">
        <v>623</v>
      </c>
      <c r="B2537" t="s">
        <v>288</v>
      </c>
      <c r="C2537" t="s">
        <v>18</v>
      </c>
      <c r="D2537" t="s">
        <v>227</v>
      </c>
      <c r="E2537">
        <v>14752</v>
      </c>
    </row>
    <row r="2538" spans="1:5" x14ac:dyDescent="0.25">
      <c r="A2538" t="s">
        <v>623</v>
      </c>
      <c r="B2538" t="s">
        <v>288</v>
      </c>
      <c r="C2538" t="s">
        <v>4</v>
      </c>
      <c r="D2538" t="s">
        <v>228</v>
      </c>
      <c r="E2538">
        <v>19610</v>
      </c>
    </row>
    <row r="2539" spans="1:5" x14ac:dyDescent="0.25">
      <c r="A2539" t="s">
        <v>623</v>
      </c>
      <c r="B2539" t="s">
        <v>288</v>
      </c>
      <c r="C2539" t="s">
        <v>19</v>
      </c>
      <c r="D2539" t="s">
        <v>227</v>
      </c>
      <c r="E2539">
        <v>2</v>
      </c>
    </row>
    <row r="2540" spans="1:5" x14ac:dyDescent="0.25">
      <c r="A2540" t="s">
        <v>623</v>
      </c>
      <c r="B2540" t="s">
        <v>288</v>
      </c>
      <c r="C2540" t="s">
        <v>5</v>
      </c>
      <c r="D2540" t="s">
        <v>49</v>
      </c>
      <c r="E2540">
        <v>74906</v>
      </c>
    </row>
    <row r="2541" spans="1:5" x14ac:dyDescent="0.25">
      <c r="A2541" t="s">
        <v>623</v>
      </c>
      <c r="B2541" t="s">
        <v>288</v>
      </c>
      <c r="C2541" t="s">
        <v>18</v>
      </c>
      <c r="D2541" t="s">
        <v>290</v>
      </c>
      <c r="E2541">
        <v>11136</v>
      </c>
    </row>
    <row r="2542" spans="1:5" x14ac:dyDescent="0.25">
      <c r="A2542" t="s">
        <v>623</v>
      </c>
      <c r="B2542" t="s">
        <v>288</v>
      </c>
      <c r="C2542" t="s">
        <v>18</v>
      </c>
      <c r="D2542" t="s">
        <v>49</v>
      </c>
      <c r="E2542">
        <v>13504</v>
      </c>
    </row>
    <row r="2543" spans="1:5" x14ac:dyDescent="0.25">
      <c r="A2543" t="s">
        <v>623</v>
      </c>
      <c r="B2543" t="s">
        <v>288</v>
      </c>
      <c r="C2543" t="s">
        <v>5</v>
      </c>
      <c r="D2543" t="s">
        <v>290</v>
      </c>
      <c r="E2543">
        <v>136401</v>
      </c>
    </row>
    <row r="2544" spans="1:5" x14ac:dyDescent="0.25">
      <c r="A2544" t="s">
        <v>623</v>
      </c>
      <c r="B2544" t="s">
        <v>288</v>
      </c>
      <c r="C2544" t="s">
        <v>5</v>
      </c>
      <c r="D2544" t="s">
        <v>228</v>
      </c>
      <c r="E2544">
        <v>22584</v>
      </c>
    </row>
    <row r="2545" spans="1:5" x14ac:dyDescent="0.25">
      <c r="A2545" t="s">
        <v>623</v>
      </c>
      <c r="B2545" t="s">
        <v>288</v>
      </c>
      <c r="C2545" t="s">
        <v>18</v>
      </c>
      <c r="D2545" t="s">
        <v>226</v>
      </c>
      <c r="E2545">
        <v>23943</v>
      </c>
    </row>
    <row r="2546" spans="1:5" x14ac:dyDescent="0.25">
      <c r="A2546" t="s">
        <v>623</v>
      </c>
      <c r="B2546" t="s">
        <v>288</v>
      </c>
      <c r="C2546" t="s">
        <v>18</v>
      </c>
      <c r="D2546" t="s">
        <v>48</v>
      </c>
      <c r="E2546">
        <v>6194</v>
      </c>
    </row>
    <row r="2547" spans="1:5" x14ac:dyDescent="0.25">
      <c r="A2547" t="s">
        <v>623</v>
      </c>
      <c r="B2547" t="s">
        <v>288</v>
      </c>
      <c r="C2547" t="s">
        <v>18</v>
      </c>
      <c r="D2547" t="s">
        <v>228</v>
      </c>
      <c r="E2547">
        <v>10049</v>
      </c>
    </row>
    <row r="2548" spans="1:5" x14ac:dyDescent="0.25">
      <c r="A2548" t="s">
        <v>623</v>
      </c>
      <c r="B2548" t="s">
        <v>288</v>
      </c>
      <c r="C2548" t="s">
        <v>19</v>
      </c>
      <c r="D2548" t="s">
        <v>290</v>
      </c>
      <c r="E2548">
        <v>7</v>
      </c>
    </row>
    <row r="2549" spans="1:5" x14ac:dyDescent="0.25">
      <c r="A2549" t="s">
        <v>623</v>
      </c>
      <c r="B2549" t="s">
        <v>288</v>
      </c>
      <c r="C2549" t="s">
        <v>18</v>
      </c>
      <c r="D2549" t="s">
        <v>229</v>
      </c>
      <c r="E2549">
        <v>2117</v>
      </c>
    </row>
    <row r="2550" spans="1:5" x14ac:dyDescent="0.25">
      <c r="A2550" t="s">
        <v>623</v>
      </c>
      <c r="B2550" t="s">
        <v>288</v>
      </c>
      <c r="C2550" t="s">
        <v>5</v>
      </c>
      <c r="D2550" t="s">
        <v>48</v>
      </c>
      <c r="E2550">
        <v>1132</v>
      </c>
    </row>
    <row r="2551" spans="1:5" x14ac:dyDescent="0.25">
      <c r="A2551" t="s">
        <v>623</v>
      </c>
      <c r="B2551" t="s">
        <v>288</v>
      </c>
      <c r="C2551" t="s">
        <v>19</v>
      </c>
      <c r="D2551" t="s">
        <v>49</v>
      </c>
      <c r="E2551">
        <v>10</v>
      </c>
    </row>
    <row r="2552" spans="1:5" x14ac:dyDescent="0.25">
      <c r="A2552" t="s">
        <v>623</v>
      </c>
      <c r="B2552" t="s">
        <v>288</v>
      </c>
      <c r="C2552" t="s">
        <v>19</v>
      </c>
      <c r="D2552" t="s">
        <v>229</v>
      </c>
      <c r="E2552">
        <v>20</v>
      </c>
    </row>
    <row r="2553" spans="1:5" x14ac:dyDescent="0.25">
      <c r="A2553" t="s">
        <v>623</v>
      </c>
      <c r="B2553" t="s">
        <v>285</v>
      </c>
      <c r="C2553" t="s">
        <v>4</v>
      </c>
      <c r="D2553" t="s">
        <v>48</v>
      </c>
      <c r="E2553">
        <v>105156</v>
      </c>
    </row>
    <row r="2554" spans="1:5" x14ac:dyDescent="0.25">
      <c r="A2554" t="s">
        <v>623</v>
      </c>
      <c r="B2554" t="s">
        <v>285</v>
      </c>
      <c r="C2554" t="s">
        <v>4</v>
      </c>
      <c r="D2554" t="s">
        <v>228</v>
      </c>
      <c r="E2554">
        <v>136966</v>
      </c>
    </row>
    <row r="2555" spans="1:5" x14ac:dyDescent="0.25">
      <c r="A2555" t="s">
        <v>623</v>
      </c>
      <c r="B2555" t="s">
        <v>285</v>
      </c>
      <c r="C2555" t="s">
        <v>4</v>
      </c>
      <c r="D2555" t="s">
        <v>227</v>
      </c>
      <c r="E2555">
        <v>107948</v>
      </c>
    </row>
    <row r="2556" spans="1:5" x14ac:dyDescent="0.25">
      <c r="A2556" t="s">
        <v>623</v>
      </c>
      <c r="B2556" t="s">
        <v>285</v>
      </c>
      <c r="C2556" t="s">
        <v>4</v>
      </c>
      <c r="D2556" t="s">
        <v>229</v>
      </c>
      <c r="E2556">
        <v>129106</v>
      </c>
    </row>
    <row r="2557" spans="1:5" x14ac:dyDescent="0.25">
      <c r="A2557" t="s">
        <v>623</v>
      </c>
      <c r="B2557" t="s">
        <v>285</v>
      </c>
      <c r="C2557" t="s">
        <v>4</v>
      </c>
      <c r="D2557" t="s">
        <v>49</v>
      </c>
      <c r="E2557">
        <v>124326</v>
      </c>
    </row>
    <row r="2558" spans="1:5" x14ac:dyDescent="0.25">
      <c r="A2558" t="s">
        <v>623</v>
      </c>
      <c r="B2558" t="s">
        <v>285</v>
      </c>
      <c r="C2558" t="s">
        <v>4</v>
      </c>
      <c r="D2558" t="s">
        <v>290</v>
      </c>
      <c r="E2558">
        <v>35802</v>
      </c>
    </row>
    <row r="2559" spans="1:5" x14ac:dyDescent="0.25">
      <c r="A2559" t="s">
        <v>623</v>
      </c>
      <c r="B2559" t="s">
        <v>285</v>
      </c>
      <c r="C2559" t="s">
        <v>4</v>
      </c>
      <c r="D2559" t="s">
        <v>226</v>
      </c>
      <c r="E2559">
        <v>314114</v>
      </c>
    </row>
    <row r="2560" spans="1:5" x14ac:dyDescent="0.25">
      <c r="A2560" t="s">
        <v>623</v>
      </c>
      <c r="B2560" t="s">
        <v>285</v>
      </c>
      <c r="C2560" t="s">
        <v>4</v>
      </c>
      <c r="D2560" t="s">
        <v>50</v>
      </c>
      <c r="E2560">
        <v>3822</v>
      </c>
    </row>
    <row r="2561" spans="1:5" x14ac:dyDescent="0.25">
      <c r="A2561" t="s">
        <v>623</v>
      </c>
      <c r="B2561" t="s">
        <v>285</v>
      </c>
      <c r="C2561" t="s">
        <v>5</v>
      </c>
      <c r="D2561" t="s">
        <v>229</v>
      </c>
      <c r="E2561">
        <v>141840</v>
      </c>
    </row>
    <row r="2562" spans="1:5" x14ac:dyDescent="0.25">
      <c r="A2562" t="s">
        <v>623</v>
      </c>
      <c r="B2562" t="s">
        <v>285</v>
      </c>
      <c r="C2562" t="s">
        <v>5</v>
      </c>
      <c r="D2562" t="s">
        <v>49</v>
      </c>
      <c r="E2562">
        <v>144584</v>
      </c>
    </row>
    <row r="2563" spans="1:5" x14ac:dyDescent="0.25">
      <c r="A2563" t="s">
        <v>623</v>
      </c>
      <c r="B2563" t="s">
        <v>285</v>
      </c>
      <c r="C2563" t="s">
        <v>5</v>
      </c>
      <c r="D2563" t="s">
        <v>48</v>
      </c>
      <c r="E2563">
        <v>79209</v>
      </c>
    </row>
    <row r="2564" spans="1:5" x14ac:dyDescent="0.25">
      <c r="A2564" t="s">
        <v>623</v>
      </c>
      <c r="B2564" t="s">
        <v>285</v>
      </c>
      <c r="C2564" t="s">
        <v>18</v>
      </c>
      <c r="D2564" t="s">
        <v>49</v>
      </c>
      <c r="E2564">
        <v>17929</v>
      </c>
    </row>
    <row r="2565" spans="1:5" x14ac:dyDescent="0.25">
      <c r="A2565" t="s">
        <v>623</v>
      </c>
      <c r="B2565" t="s">
        <v>285</v>
      </c>
      <c r="D2565" t="s">
        <v>226</v>
      </c>
      <c r="E2565">
        <v>282469</v>
      </c>
    </row>
    <row r="2566" spans="1:5" x14ac:dyDescent="0.25">
      <c r="A2566" t="s">
        <v>623</v>
      </c>
      <c r="B2566" t="s">
        <v>285</v>
      </c>
      <c r="C2566" t="s">
        <v>18</v>
      </c>
      <c r="D2566" t="s">
        <v>227</v>
      </c>
      <c r="E2566">
        <v>7891</v>
      </c>
    </row>
    <row r="2567" spans="1:5" x14ac:dyDescent="0.25">
      <c r="A2567" t="s">
        <v>623</v>
      </c>
      <c r="B2567" t="s">
        <v>285</v>
      </c>
      <c r="C2567" t="s">
        <v>18</v>
      </c>
      <c r="D2567" t="s">
        <v>229</v>
      </c>
      <c r="E2567">
        <v>18908</v>
      </c>
    </row>
    <row r="2568" spans="1:5" x14ac:dyDescent="0.25">
      <c r="A2568" t="s">
        <v>623</v>
      </c>
      <c r="B2568" t="s">
        <v>285</v>
      </c>
      <c r="C2568" t="s">
        <v>5</v>
      </c>
      <c r="D2568" t="s">
        <v>227</v>
      </c>
      <c r="E2568">
        <v>57368</v>
      </c>
    </row>
    <row r="2569" spans="1:5" x14ac:dyDescent="0.25">
      <c r="A2569" t="s">
        <v>623</v>
      </c>
      <c r="B2569" t="s">
        <v>285</v>
      </c>
      <c r="C2569" t="s">
        <v>5</v>
      </c>
      <c r="D2569" t="s">
        <v>228</v>
      </c>
      <c r="E2569">
        <v>30842</v>
      </c>
    </row>
    <row r="2570" spans="1:5" x14ac:dyDescent="0.25">
      <c r="A2570" t="s">
        <v>623</v>
      </c>
      <c r="B2570" t="s">
        <v>285</v>
      </c>
      <c r="C2570" t="s">
        <v>18</v>
      </c>
      <c r="D2570" t="s">
        <v>228</v>
      </c>
      <c r="E2570">
        <v>10342</v>
      </c>
    </row>
    <row r="2571" spans="1:5" x14ac:dyDescent="0.25">
      <c r="A2571" t="s">
        <v>623</v>
      </c>
      <c r="B2571" t="s">
        <v>285</v>
      </c>
      <c r="C2571" t="s">
        <v>18</v>
      </c>
      <c r="D2571" t="s">
        <v>226</v>
      </c>
      <c r="E2571">
        <v>26647</v>
      </c>
    </row>
    <row r="2572" spans="1:5" x14ac:dyDescent="0.25">
      <c r="A2572" t="s">
        <v>623</v>
      </c>
      <c r="B2572" t="s">
        <v>285</v>
      </c>
      <c r="C2572" t="s">
        <v>5</v>
      </c>
      <c r="D2572" t="s">
        <v>226</v>
      </c>
      <c r="E2572">
        <v>143745</v>
      </c>
    </row>
    <row r="2573" spans="1:5" x14ac:dyDescent="0.25">
      <c r="A2573" t="s">
        <v>623</v>
      </c>
      <c r="B2573" t="s">
        <v>285</v>
      </c>
      <c r="C2573" t="s">
        <v>18</v>
      </c>
      <c r="D2573" t="s">
        <v>48</v>
      </c>
      <c r="E2573">
        <v>8274</v>
      </c>
    </row>
    <row r="2574" spans="1:5" x14ac:dyDescent="0.25">
      <c r="A2574" t="s">
        <v>623</v>
      </c>
      <c r="B2574" t="s">
        <v>285</v>
      </c>
      <c r="C2574" t="s">
        <v>18</v>
      </c>
      <c r="D2574" t="s">
        <v>50</v>
      </c>
      <c r="E2574">
        <v>102</v>
      </c>
    </row>
    <row r="2575" spans="1:5" x14ac:dyDescent="0.25">
      <c r="A2575" t="s">
        <v>623</v>
      </c>
      <c r="B2575" t="s">
        <v>285</v>
      </c>
      <c r="C2575" t="s">
        <v>5</v>
      </c>
      <c r="D2575" t="s">
        <v>50</v>
      </c>
      <c r="E2575">
        <v>379</v>
      </c>
    </row>
    <row r="2576" spans="1:5" x14ac:dyDescent="0.25">
      <c r="A2576" t="s">
        <v>623</v>
      </c>
      <c r="B2576" t="s">
        <v>16</v>
      </c>
      <c r="C2576" t="s">
        <v>4</v>
      </c>
      <c r="D2576" t="s">
        <v>42</v>
      </c>
      <c r="E2576">
        <v>339</v>
      </c>
    </row>
    <row r="2577" spans="1:5" x14ac:dyDescent="0.25">
      <c r="A2577" t="s">
        <v>623</v>
      </c>
      <c r="B2577" t="s">
        <v>16</v>
      </c>
      <c r="C2577" t="s">
        <v>4</v>
      </c>
      <c r="D2577" t="s">
        <v>44</v>
      </c>
      <c r="E2577">
        <v>7999</v>
      </c>
    </row>
    <row r="2578" spans="1:5" x14ac:dyDescent="0.25">
      <c r="A2578" t="s">
        <v>623</v>
      </c>
      <c r="B2578" t="s">
        <v>16</v>
      </c>
      <c r="C2578" t="s">
        <v>18</v>
      </c>
      <c r="D2578" t="s">
        <v>44</v>
      </c>
      <c r="E2578">
        <v>558</v>
      </c>
    </row>
    <row r="2579" spans="1:5" x14ac:dyDescent="0.25">
      <c r="A2579" t="s">
        <v>623</v>
      </c>
      <c r="B2579" t="s">
        <v>16</v>
      </c>
      <c r="C2579" t="s">
        <v>5</v>
      </c>
      <c r="D2579" t="s">
        <v>44</v>
      </c>
      <c r="E2579">
        <v>1714</v>
      </c>
    </row>
    <row r="2580" spans="1:5" x14ac:dyDescent="0.25">
      <c r="A2580" t="s">
        <v>623</v>
      </c>
      <c r="B2580" t="s">
        <v>16</v>
      </c>
      <c r="C2580" t="s">
        <v>4</v>
      </c>
      <c r="D2580" t="s">
        <v>43</v>
      </c>
      <c r="E2580">
        <v>1525</v>
      </c>
    </row>
    <row r="2581" spans="1:5" x14ac:dyDescent="0.25">
      <c r="A2581" t="s">
        <v>623</v>
      </c>
      <c r="B2581" t="s">
        <v>16</v>
      </c>
      <c r="E2581">
        <v>55</v>
      </c>
    </row>
    <row r="2582" spans="1:5" x14ac:dyDescent="0.25">
      <c r="A2582" t="s">
        <v>623</v>
      </c>
      <c r="B2582" t="s">
        <v>16</v>
      </c>
      <c r="C2582" t="s">
        <v>18</v>
      </c>
      <c r="D2582" t="s">
        <v>511</v>
      </c>
    </row>
    <row r="2583" spans="1:5" x14ac:dyDescent="0.25">
      <c r="A2583" t="s">
        <v>623</v>
      </c>
      <c r="B2583" t="s">
        <v>16</v>
      </c>
      <c r="C2583" t="s">
        <v>4</v>
      </c>
      <c r="D2583" t="s">
        <v>508</v>
      </c>
      <c r="E2583">
        <v>32</v>
      </c>
    </row>
    <row r="2584" spans="1:5" x14ac:dyDescent="0.25">
      <c r="A2584" t="s">
        <v>623</v>
      </c>
      <c r="B2584" t="s">
        <v>16</v>
      </c>
      <c r="C2584" t="s">
        <v>5</v>
      </c>
      <c r="D2584" t="s">
        <v>43</v>
      </c>
      <c r="E2584">
        <v>755</v>
      </c>
    </row>
    <row r="2585" spans="1:5" x14ac:dyDescent="0.25">
      <c r="A2585" t="s">
        <v>623</v>
      </c>
      <c r="B2585" t="s">
        <v>16</v>
      </c>
      <c r="C2585" t="s">
        <v>4</v>
      </c>
      <c r="D2585" t="s">
        <v>509</v>
      </c>
      <c r="E2585">
        <v>134</v>
      </c>
    </row>
    <row r="2586" spans="1:5" x14ac:dyDescent="0.25">
      <c r="A2586" t="s">
        <v>623</v>
      </c>
      <c r="B2586" t="s">
        <v>16</v>
      </c>
      <c r="C2586" t="s">
        <v>4</v>
      </c>
      <c r="D2586" t="s">
        <v>507</v>
      </c>
      <c r="E2586">
        <v>1137</v>
      </c>
    </row>
    <row r="2587" spans="1:5" x14ac:dyDescent="0.25">
      <c r="A2587" t="s">
        <v>623</v>
      </c>
      <c r="B2587" t="s">
        <v>16</v>
      </c>
      <c r="C2587" t="s">
        <v>5</v>
      </c>
      <c r="D2587" t="s">
        <v>511</v>
      </c>
      <c r="E2587">
        <v>16</v>
      </c>
    </row>
    <row r="2588" spans="1:5" x14ac:dyDescent="0.25">
      <c r="A2588" t="s">
        <v>623</v>
      </c>
      <c r="B2588" t="s">
        <v>16</v>
      </c>
      <c r="C2588" t="s">
        <v>5</v>
      </c>
      <c r="D2588" t="s">
        <v>510</v>
      </c>
      <c r="E2588">
        <v>45</v>
      </c>
    </row>
    <row r="2589" spans="1:5" x14ac:dyDescent="0.25">
      <c r="A2589" t="s">
        <v>623</v>
      </c>
      <c r="B2589" t="s">
        <v>16</v>
      </c>
      <c r="C2589" t="s">
        <v>4</v>
      </c>
      <c r="D2589" t="s">
        <v>514</v>
      </c>
    </row>
    <row r="2590" spans="1:5" x14ac:dyDescent="0.25">
      <c r="A2590" t="s">
        <v>623</v>
      </c>
      <c r="B2590" t="s">
        <v>16</v>
      </c>
      <c r="C2590" t="s">
        <v>5</v>
      </c>
      <c r="D2590" t="s">
        <v>512</v>
      </c>
    </row>
    <row r="2591" spans="1:5" x14ac:dyDescent="0.25">
      <c r="A2591" t="s">
        <v>623</v>
      </c>
      <c r="B2591" t="s">
        <v>16</v>
      </c>
      <c r="C2591" t="s">
        <v>4</v>
      </c>
      <c r="D2591" t="s">
        <v>512</v>
      </c>
    </row>
    <row r="2592" spans="1:5" x14ac:dyDescent="0.25">
      <c r="A2592" t="s">
        <v>623</v>
      </c>
      <c r="B2592" t="s">
        <v>288</v>
      </c>
      <c r="C2592" t="s">
        <v>4</v>
      </c>
      <c r="D2592" t="s">
        <v>44</v>
      </c>
      <c r="E2592">
        <v>4579</v>
      </c>
    </row>
    <row r="2593" spans="1:5" x14ac:dyDescent="0.25">
      <c r="A2593" t="s">
        <v>623</v>
      </c>
      <c r="B2593" t="s">
        <v>288</v>
      </c>
      <c r="C2593" t="s">
        <v>4</v>
      </c>
      <c r="D2593" t="s">
        <v>42</v>
      </c>
      <c r="E2593">
        <v>530</v>
      </c>
    </row>
    <row r="2594" spans="1:5" x14ac:dyDescent="0.25">
      <c r="A2594" t="s">
        <v>623</v>
      </c>
      <c r="B2594" t="s">
        <v>288</v>
      </c>
      <c r="C2594" t="s">
        <v>5</v>
      </c>
      <c r="D2594" t="s">
        <v>511</v>
      </c>
      <c r="E2594">
        <v>165</v>
      </c>
    </row>
    <row r="2595" spans="1:5" x14ac:dyDescent="0.25">
      <c r="A2595" t="s">
        <v>623</v>
      </c>
      <c r="B2595" t="s">
        <v>288</v>
      </c>
      <c r="C2595" t="s">
        <v>5</v>
      </c>
      <c r="D2595" t="s">
        <v>44</v>
      </c>
      <c r="E2595">
        <v>2253</v>
      </c>
    </row>
    <row r="2596" spans="1:5" x14ac:dyDescent="0.25">
      <c r="A2596" t="s">
        <v>623</v>
      </c>
      <c r="B2596" t="s">
        <v>288</v>
      </c>
      <c r="C2596" t="s">
        <v>18</v>
      </c>
      <c r="D2596" t="s">
        <v>44</v>
      </c>
      <c r="E2596">
        <v>192</v>
      </c>
    </row>
    <row r="2597" spans="1:5" x14ac:dyDescent="0.25">
      <c r="A2597" t="s">
        <v>623</v>
      </c>
      <c r="B2597" t="s">
        <v>288</v>
      </c>
      <c r="C2597" t="s">
        <v>19</v>
      </c>
      <c r="D2597" t="s">
        <v>44</v>
      </c>
    </row>
    <row r="2598" spans="1:5" x14ac:dyDescent="0.25">
      <c r="A2598" t="s">
        <v>623</v>
      </c>
      <c r="B2598" t="s">
        <v>288</v>
      </c>
      <c r="C2598" t="s">
        <v>4</v>
      </c>
      <c r="D2598" t="s">
        <v>43</v>
      </c>
      <c r="E2598">
        <v>1499</v>
      </c>
    </row>
    <row r="2599" spans="1:5" x14ac:dyDescent="0.25">
      <c r="A2599" t="s">
        <v>623</v>
      </c>
      <c r="B2599" t="s">
        <v>288</v>
      </c>
      <c r="C2599" t="s">
        <v>18</v>
      </c>
      <c r="D2599" t="s">
        <v>511</v>
      </c>
      <c r="E2599">
        <v>6</v>
      </c>
    </row>
    <row r="2600" spans="1:5" x14ac:dyDescent="0.25">
      <c r="A2600" t="s">
        <v>623</v>
      </c>
      <c r="B2600" t="s">
        <v>288</v>
      </c>
      <c r="C2600" t="s">
        <v>5</v>
      </c>
      <c r="D2600" t="s">
        <v>43</v>
      </c>
      <c r="E2600">
        <v>313</v>
      </c>
    </row>
    <row r="2601" spans="1:5" x14ac:dyDescent="0.25">
      <c r="A2601" t="s">
        <v>623</v>
      </c>
      <c r="B2601" t="s">
        <v>288</v>
      </c>
      <c r="C2601" t="s">
        <v>4</v>
      </c>
      <c r="D2601" t="s">
        <v>509</v>
      </c>
      <c r="E2601">
        <v>10</v>
      </c>
    </row>
    <row r="2602" spans="1:5" x14ac:dyDescent="0.25">
      <c r="A2602" t="s">
        <v>623</v>
      </c>
      <c r="B2602" t="s">
        <v>288</v>
      </c>
      <c r="C2602" t="s">
        <v>4</v>
      </c>
      <c r="D2602" t="s">
        <v>511</v>
      </c>
      <c r="E2602">
        <v>216</v>
      </c>
    </row>
    <row r="2603" spans="1:5" x14ac:dyDescent="0.25">
      <c r="A2603" t="s">
        <v>623</v>
      </c>
      <c r="B2603" t="s">
        <v>288</v>
      </c>
      <c r="C2603" t="s">
        <v>4</v>
      </c>
      <c r="D2603" t="s">
        <v>512</v>
      </c>
      <c r="E2603">
        <v>18</v>
      </c>
    </row>
    <row r="2604" spans="1:5" x14ac:dyDescent="0.25">
      <c r="A2604" t="s">
        <v>623</v>
      </c>
      <c r="B2604" t="s">
        <v>288</v>
      </c>
      <c r="C2604" t="s">
        <v>18</v>
      </c>
      <c r="D2604" t="s">
        <v>43</v>
      </c>
      <c r="E2604">
        <v>29</v>
      </c>
    </row>
    <row r="2605" spans="1:5" x14ac:dyDescent="0.25">
      <c r="A2605" t="s">
        <v>623</v>
      </c>
      <c r="B2605" t="s">
        <v>288</v>
      </c>
      <c r="C2605" t="s">
        <v>4</v>
      </c>
      <c r="D2605" t="s">
        <v>514</v>
      </c>
    </row>
    <row r="2606" spans="1:5" x14ac:dyDescent="0.25">
      <c r="A2606" t="s">
        <v>623</v>
      </c>
      <c r="B2606" t="s">
        <v>288</v>
      </c>
      <c r="C2606" t="s">
        <v>4</v>
      </c>
      <c r="D2606" t="s">
        <v>508</v>
      </c>
      <c r="E2606">
        <v>1</v>
      </c>
    </row>
    <row r="2607" spans="1:5" x14ac:dyDescent="0.25">
      <c r="A2607" t="s">
        <v>623</v>
      </c>
      <c r="B2607" t="s">
        <v>288</v>
      </c>
      <c r="C2607" t="s">
        <v>5</v>
      </c>
      <c r="D2607" t="s">
        <v>512</v>
      </c>
      <c r="E2607">
        <v>4</v>
      </c>
    </row>
    <row r="2608" spans="1:5" x14ac:dyDescent="0.25">
      <c r="A2608" t="s">
        <v>623</v>
      </c>
      <c r="B2608" t="s">
        <v>285</v>
      </c>
      <c r="C2608" t="s">
        <v>4</v>
      </c>
      <c r="D2608" t="s">
        <v>44</v>
      </c>
      <c r="E2608">
        <v>4338</v>
      </c>
    </row>
    <row r="2609" spans="1:5" x14ac:dyDescent="0.25">
      <c r="A2609" t="s">
        <v>623</v>
      </c>
      <c r="B2609" t="s">
        <v>285</v>
      </c>
      <c r="C2609" t="s">
        <v>4</v>
      </c>
      <c r="D2609" t="s">
        <v>507</v>
      </c>
      <c r="E2609">
        <v>247</v>
      </c>
    </row>
    <row r="2610" spans="1:5" x14ac:dyDescent="0.25">
      <c r="A2610" t="s">
        <v>623</v>
      </c>
      <c r="B2610" t="s">
        <v>285</v>
      </c>
      <c r="C2610" t="s">
        <v>4</v>
      </c>
      <c r="D2610" t="s">
        <v>508</v>
      </c>
      <c r="E2610">
        <v>1</v>
      </c>
    </row>
    <row r="2611" spans="1:5" x14ac:dyDescent="0.25">
      <c r="A2611" t="s">
        <v>623</v>
      </c>
      <c r="B2611" t="s">
        <v>285</v>
      </c>
      <c r="C2611" t="s">
        <v>4</v>
      </c>
      <c r="D2611" t="s">
        <v>43</v>
      </c>
      <c r="E2611">
        <v>282</v>
      </c>
    </row>
    <row r="2612" spans="1:5" x14ac:dyDescent="0.25">
      <c r="A2612" t="s">
        <v>623</v>
      </c>
      <c r="B2612" t="s">
        <v>285</v>
      </c>
      <c r="C2612" t="s">
        <v>4</v>
      </c>
      <c r="D2612" t="s">
        <v>511</v>
      </c>
      <c r="E2612">
        <v>32</v>
      </c>
    </row>
    <row r="2613" spans="1:5" x14ac:dyDescent="0.25">
      <c r="A2613" t="s">
        <v>623</v>
      </c>
      <c r="B2613" t="s">
        <v>285</v>
      </c>
      <c r="C2613" t="s">
        <v>4</v>
      </c>
      <c r="D2613" t="s">
        <v>42</v>
      </c>
      <c r="E2613">
        <v>355</v>
      </c>
    </row>
    <row r="2614" spans="1:5" x14ac:dyDescent="0.25">
      <c r="A2614" t="s">
        <v>623</v>
      </c>
      <c r="B2614" t="s">
        <v>285</v>
      </c>
      <c r="C2614" t="s">
        <v>4</v>
      </c>
      <c r="D2614" t="s">
        <v>509</v>
      </c>
      <c r="E2614">
        <v>9</v>
      </c>
    </row>
    <row r="2615" spans="1:5" x14ac:dyDescent="0.25">
      <c r="A2615" t="s">
        <v>623</v>
      </c>
      <c r="B2615" t="s">
        <v>285</v>
      </c>
      <c r="C2615" t="s">
        <v>5</v>
      </c>
      <c r="D2615" t="s">
        <v>44</v>
      </c>
      <c r="E2615">
        <v>3317</v>
      </c>
    </row>
    <row r="2616" spans="1:5" x14ac:dyDescent="0.25">
      <c r="A2616" t="s">
        <v>623</v>
      </c>
      <c r="B2616" t="s">
        <v>285</v>
      </c>
      <c r="C2616" t="s">
        <v>4</v>
      </c>
      <c r="D2616" t="s">
        <v>510</v>
      </c>
      <c r="E2616">
        <v>43</v>
      </c>
    </row>
    <row r="2617" spans="1:5" x14ac:dyDescent="0.25">
      <c r="A2617" t="s">
        <v>623</v>
      </c>
      <c r="B2617" t="s">
        <v>285</v>
      </c>
      <c r="C2617" t="s">
        <v>18</v>
      </c>
      <c r="D2617" t="s">
        <v>44</v>
      </c>
      <c r="E2617">
        <v>351</v>
      </c>
    </row>
    <row r="2618" spans="1:5" x14ac:dyDescent="0.25">
      <c r="A2618" t="s">
        <v>623</v>
      </c>
      <c r="B2618" t="s">
        <v>285</v>
      </c>
      <c r="E2618">
        <v>1010</v>
      </c>
    </row>
    <row r="2619" spans="1:5" x14ac:dyDescent="0.25">
      <c r="A2619" t="s">
        <v>623</v>
      </c>
      <c r="B2619" t="s">
        <v>285</v>
      </c>
      <c r="C2619" t="s">
        <v>4</v>
      </c>
      <c r="D2619" t="s">
        <v>513</v>
      </c>
      <c r="E2619">
        <v>5</v>
      </c>
    </row>
    <row r="2620" spans="1:5" x14ac:dyDescent="0.25">
      <c r="A2620" t="s">
        <v>623</v>
      </c>
      <c r="B2620" t="s">
        <v>285</v>
      </c>
      <c r="C2620" t="s">
        <v>18</v>
      </c>
      <c r="D2620" t="s">
        <v>511</v>
      </c>
    </row>
    <row r="2621" spans="1:5" x14ac:dyDescent="0.25">
      <c r="A2621" t="s">
        <v>623</v>
      </c>
      <c r="B2621" t="s">
        <v>285</v>
      </c>
      <c r="C2621" t="s">
        <v>18</v>
      </c>
      <c r="D2621" t="s">
        <v>43</v>
      </c>
      <c r="E2621">
        <v>13</v>
      </c>
    </row>
    <row r="2622" spans="1:5" x14ac:dyDescent="0.25">
      <c r="A2622" t="s">
        <v>623</v>
      </c>
      <c r="B2622" t="s">
        <v>285</v>
      </c>
      <c r="C2622" t="s">
        <v>4</v>
      </c>
      <c r="D2622" t="s">
        <v>514</v>
      </c>
      <c r="E2622">
        <v>123</v>
      </c>
    </row>
    <row r="2623" spans="1:5" x14ac:dyDescent="0.25">
      <c r="A2623" t="s">
        <v>623</v>
      </c>
      <c r="B2623" t="s">
        <v>285</v>
      </c>
      <c r="D2623" t="s">
        <v>42</v>
      </c>
      <c r="E2623">
        <v>22</v>
      </c>
    </row>
    <row r="2624" spans="1:5" x14ac:dyDescent="0.25">
      <c r="A2624" t="s">
        <v>623</v>
      </c>
      <c r="B2624" t="s">
        <v>285</v>
      </c>
      <c r="C2624" t="s">
        <v>18</v>
      </c>
      <c r="D2624" t="s">
        <v>42</v>
      </c>
      <c r="E2624">
        <v>18</v>
      </c>
    </row>
    <row r="2625" spans="1:5" x14ac:dyDescent="0.25">
      <c r="A2625" t="s">
        <v>623</v>
      </c>
      <c r="B2625" t="s">
        <v>16</v>
      </c>
      <c r="C2625" t="s">
        <v>4</v>
      </c>
      <c r="D2625" t="s">
        <v>621</v>
      </c>
      <c r="E2625">
        <v>8831</v>
      </c>
    </row>
    <row r="2626" spans="1:5" x14ac:dyDescent="0.25">
      <c r="A2626" t="s">
        <v>623</v>
      </c>
      <c r="B2626" t="s">
        <v>16</v>
      </c>
      <c r="C2626" t="s">
        <v>4</v>
      </c>
      <c r="D2626" t="s">
        <v>23</v>
      </c>
      <c r="E2626">
        <v>2404</v>
      </c>
    </row>
    <row r="2627" spans="1:5" x14ac:dyDescent="0.25">
      <c r="A2627" t="s">
        <v>623</v>
      </c>
      <c r="B2627" t="s">
        <v>16</v>
      </c>
      <c r="C2627" t="s">
        <v>5</v>
      </c>
      <c r="D2627" t="s">
        <v>621</v>
      </c>
      <c r="E2627">
        <v>2079</v>
      </c>
    </row>
    <row r="2628" spans="1:5" x14ac:dyDescent="0.25">
      <c r="A2628" t="s">
        <v>623</v>
      </c>
      <c r="B2628" t="s">
        <v>16</v>
      </c>
      <c r="C2628" t="s">
        <v>4</v>
      </c>
      <c r="D2628" t="s">
        <v>22</v>
      </c>
      <c r="E2628">
        <v>1330</v>
      </c>
    </row>
    <row r="2629" spans="1:5" x14ac:dyDescent="0.25">
      <c r="A2629" t="s">
        <v>623</v>
      </c>
      <c r="B2629" t="s">
        <v>16</v>
      </c>
      <c r="C2629" t="s">
        <v>18</v>
      </c>
      <c r="D2629" t="s">
        <v>621</v>
      </c>
      <c r="E2629">
        <v>460</v>
      </c>
    </row>
    <row r="2630" spans="1:5" x14ac:dyDescent="0.25">
      <c r="A2630" t="s">
        <v>623</v>
      </c>
      <c r="B2630" t="s">
        <v>16</v>
      </c>
      <c r="C2630" t="s">
        <v>5</v>
      </c>
      <c r="D2630" t="s">
        <v>22</v>
      </c>
      <c r="E2630">
        <v>233</v>
      </c>
    </row>
    <row r="2631" spans="1:5" x14ac:dyDescent="0.25">
      <c r="A2631" t="s">
        <v>623</v>
      </c>
      <c r="B2631" t="s">
        <v>16</v>
      </c>
      <c r="C2631" t="s">
        <v>18</v>
      </c>
      <c r="D2631" t="s">
        <v>22</v>
      </c>
      <c r="E2631">
        <v>99</v>
      </c>
    </row>
    <row r="2632" spans="1:5" x14ac:dyDescent="0.25">
      <c r="A2632" t="s">
        <v>623</v>
      </c>
      <c r="B2632" t="s">
        <v>16</v>
      </c>
      <c r="C2632" t="s">
        <v>5</v>
      </c>
      <c r="D2632" t="s">
        <v>23</v>
      </c>
      <c r="E2632">
        <v>701</v>
      </c>
    </row>
    <row r="2633" spans="1:5" x14ac:dyDescent="0.25">
      <c r="A2633" t="s">
        <v>623</v>
      </c>
      <c r="B2633" t="s">
        <v>16</v>
      </c>
      <c r="C2633" t="s">
        <v>18</v>
      </c>
      <c r="D2633" t="s">
        <v>23</v>
      </c>
      <c r="E2633">
        <v>249</v>
      </c>
    </row>
    <row r="2634" spans="1:5" x14ac:dyDescent="0.25">
      <c r="A2634" t="s">
        <v>623</v>
      </c>
      <c r="B2634" t="s">
        <v>288</v>
      </c>
      <c r="C2634" t="s">
        <v>4</v>
      </c>
      <c r="D2634" t="s">
        <v>621</v>
      </c>
      <c r="E2634">
        <v>6187</v>
      </c>
    </row>
    <row r="2635" spans="1:5" x14ac:dyDescent="0.25">
      <c r="A2635" t="s">
        <v>623</v>
      </c>
      <c r="B2635" t="s">
        <v>288</v>
      </c>
      <c r="C2635" t="s">
        <v>4</v>
      </c>
      <c r="D2635" t="s">
        <v>22</v>
      </c>
      <c r="E2635">
        <v>1095</v>
      </c>
    </row>
    <row r="2636" spans="1:5" x14ac:dyDescent="0.25">
      <c r="A2636" t="s">
        <v>623</v>
      </c>
      <c r="B2636" t="s">
        <v>288</v>
      </c>
      <c r="C2636" t="s">
        <v>5</v>
      </c>
      <c r="D2636" t="s">
        <v>22</v>
      </c>
      <c r="E2636">
        <v>469</v>
      </c>
    </row>
    <row r="2637" spans="1:5" x14ac:dyDescent="0.25">
      <c r="A2637" t="s">
        <v>623</v>
      </c>
      <c r="B2637" t="s">
        <v>288</v>
      </c>
      <c r="C2637" t="s">
        <v>5</v>
      </c>
      <c r="D2637" t="s">
        <v>23</v>
      </c>
      <c r="E2637">
        <v>811</v>
      </c>
    </row>
    <row r="2638" spans="1:5" x14ac:dyDescent="0.25">
      <c r="A2638" t="s">
        <v>623</v>
      </c>
      <c r="B2638" t="s">
        <v>288</v>
      </c>
      <c r="C2638" t="s">
        <v>4</v>
      </c>
      <c r="D2638" t="s">
        <v>23</v>
      </c>
      <c r="E2638">
        <v>5276</v>
      </c>
    </row>
    <row r="2639" spans="1:5" x14ac:dyDescent="0.25">
      <c r="A2639" t="s">
        <v>623</v>
      </c>
      <c r="B2639" t="s">
        <v>288</v>
      </c>
      <c r="C2639" t="s">
        <v>5</v>
      </c>
      <c r="D2639" t="s">
        <v>621</v>
      </c>
      <c r="E2639">
        <v>2003</v>
      </c>
    </row>
    <row r="2640" spans="1:5" x14ac:dyDescent="0.25">
      <c r="A2640" t="s">
        <v>623</v>
      </c>
      <c r="B2640" t="s">
        <v>288</v>
      </c>
      <c r="C2640" t="s">
        <v>18</v>
      </c>
      <c r="D2640" t="s">
        <v>23</v>
      </c>
      <c r="E2640">
        <v>386</v>
      </c>
    </row>
    <row r="2641" spans="1:5" x14ac:dyDescent="0.25">
      <c r="A2641" t="s">
        <v>623</v>
      </c>
      <c r="B2641" t="s">
        <v>288</v>
      </c>
      <c r="C2641" t="s">
        <v>18</v>
      </c>
      <c r="D2641" t="s">
        <v>621</v>
      </c>
      <c r="E2641">
        <v>452</v>
      </c>
    </row>
    <row r="2642" spans="1:5" x14ac:dyDescent="0.25">
      <c r="A2642" t="s">
        <v>623</v>
      </c>
      <c r="B2642" t="s">
        <v>288</v>
      </c>
      <c r="C2642" t="s">
        <v>18</v>
      </c>
      <c r="D2642" t="s">
        <v>22</v>
      </c>
      <c r="E2642">
        <v>29</v>
      </c>
    </row>
    <row r="2643" spans="1:5" x14ac:dyDescent="0.25">
      <c r="A2643" t="s">
        <v>623</v>
      </c>
      <c r="B2643" t="s">
        <v>288</v>
      </c>
      <c r="C2643" t="s">
        <v>19</v>
      </c>
      <c r="D2643" t="s">
        <v>23</v>
      </c>
      <c r="E2643">
        <v>4</v>
      </c>
    </row>
    <row r="2644" spans="1:5" x14ac:dyDescent="0.25">
      <c r="A2644" t="s">
        <v>623</v>
      </c>
      <c r="B2644" t="s">
        <v>288</v>
      </c>
      <c r="C2644" t="s">
        <v>19</v>
      </c>
      <c r="D2644" t="s">
        <v>621</v>
      </c>
      <c r="E2644">
        <v>17</v>
      </c>
    </row>
    <row r="2645" spans="1:5" x14ac:dyDescent="0.25">
      <c r="A2645" t="s">
        <v>623</v>
      </c>
      <c r="B2645" t="s">
        <v>285</v>
      </c>
      <c r="C2645" t="s">
        <v>4</v>
      </c>
      <c r="D2645" t="s">
        <v>23</v>
      </c>
      <c r="E2645">
        <v>3695</v>
      </c>
    </row>
    <row r="2646" spans="1:5" x14ac:dyDescent="0.25">
      <c r="A2646" t="s">
        <v>623</v>
      </c>
      <c r="B2646" t="s">
        <v>285</v>
      </c>
      <c r="C2646" t="s">
        <v>4</v>
      </c>
      <c r="D2646" t="s">
        <v>22</v>
      </c>
      <c r="E2646">
        <v>1257</v>
      </c>
    </row>
    <row r="2647" spans="1:5" x14ac:dyDescent="0.25">
      <c r="A2647" t="s">
        <v>623</v>
      </c>
      <c r="B2647" t="s">
        <v>285</v>
      </c>
      <c r="C2647" t="s">
        <v>4</v>
      </c>
      <c r="D2647" t="s">
        <v>621</v>
      </c>
      <c r="E2647">
        <v>3954</v>
      </c>
    </row>
    <row r="2648" spans="1:5" x14ac:dyDescent="0.25">
      <c r="A2648" t="s">
        <v>623</v>
      </c>
      <c r="B2648" t="s">
        <v>285</v>
      </c>
      <c r="C2648" t="s">
        <v>5</v>
      </c>
      <c r="D2648" t="s">
        <v>621</v>
      </c>
      <c r="E2648">
        <v>2109</v>
      </c>
    </row>
    <row r="2649" spans="1:5" x14ac:dyDescent="0.25">
      <c r="A2649" t="s">
        <v>623</v>
      </c>
      <c r="B2649" t="s">
        <v>285</v>
      </c>
      <c r="C2649" t="s">
        <v>5</v>
      </c>
      <c r="D2649" t="s">
        <v>22</v>
      </c>
      <c r="E2649">
        <v>534</v>
      </c>
    </row>
    <row r="2650" spans="1:5" x14ac:dyDescent="0.25">
      <c r="A2650" t="s">
        <v>623</v>
      </c>
      <c r="B2650" t="s">
        <v>285</v>
      </c>
      <c r="C2650" t="s">
        <v>18</v>
      </c>
      <c r="D2650" t="s">
        <v>621</v>
      </c>
      <c r="E2650">
        <v>632</v>
      </c>
    </row>
    <row r="2651" spans="1:5" x14ac:dyDescent="0.25">
      <c r="A2651" t="s">
        <v>623</v>
      </c>
      <c r="B2651" t="s">
        <v>285</v>
      </c>
      <c r="C2651" t="s">
        <v>18</v>
      </c>
      <c r="D2651" t="s">
        <v>23</v>
      </c>
      <c r="E2651">
        <v>141</v>
      </c>
    </row>
    <row r="2652" spans="1:5" x14ac:dyDescent="0.25">
      <c r="A2652" t="s">
        <v>623</v>
      </c>
      <c r="B2652" t="s">
        <v>285</v>
      </c>
      <c r="C2652" t="s">
        <v>18</v>
      </c>
      <c r="D2652" t="s">
        <v>22</v>
      </c>
      <c r="E2652">
        <v>99</v>
      </c>
    </row>
    <row r="2653" spans="1:5" x14ac:dyDescent="0.25">
      <c r="A2653" t="s">
        <v>623</v>
      </c>
      <c r="B2653" t="s">
        <v>285</v>
      </c>
      <c r="C2653" t="s">
        <v>5</v>
      </c>
      <c r="D2653" t="s">
        <v>23</v>
      </c>
      <c r="E2653">
        <v>809</v>
      </c>
    </row>
    <row r="2654" spans="1:5" x14ac:dyDescent="0.25">
      <c r="A2654" t="s">
        <v>623</v>
      </c>
      <c r="B2654" t="s">
        <v>16</v>
      </c>
      <c r="D2654" t="s">
        <v>46</v>
      </c>
      <c r="E2654">
        <v>39029</v>
      </c>
    </row>
    <row r="2655" spans="1:5" x14ac:dyDescent="0.25">
      <c r="A2655" t="s">
        <v>623</v>
      </c>
      <c r="B2655" t="s">
        <v>16</v>
      </c>
      <c r="D2655" t="s">
        <v>45</v>
      </c>
      <c r="E2655">
        <v>2146807</v>
      </c>
    </row>
    <row r="2656" spans="1:5" x14ac:dyDescent="0.25">
      <c r="A2656" t="s">
        <v>623</v>
      </c>
      <c r="B2656" t="s">
        <v>288</v>
      </c>
      <c r="D2656" t="s">
        <v>46</v>
      </c>
      <c r="E2656">
        <v>36351</v>
      </c>
    </row>
    <row r="2657" spans="1:5" x14ac:dyDescent="0.25">
      <c r="A2657" t="s">
        <v>623</v>
      </c>
      <c r="B2657" t="s">
        <v>288</v>
      </c>
      <c r="D2657" t="s">
        <v>45</v>
      </c>
      <c r="E2657">
        <v>1943700</v>
      </c>
    </row>
    <row r="2658" spans="1:5" x14ac:dyDescent="0.25">
      <c r="A2658" t="s">
        <v>623</v>
      </c>
      <c r="B2658" t="s">
        <v>285</v>
      </c>
      <c r="D2658" t="s">
        <v>46</v>
      </c>
      <c r="E2658">
        <v>35370</v>
      </c>
    </row>
    <row r="2659" spans="1:5" x14ac:dyDescent="0.25">
      <c r="A2659" t="s">
        <v>623</v>
      </c>
      <c r="B2659" t="s">
        <v>285</v>
      </c>
      <c r="D2659" t="s">
        <v>45</v>
      </c>
      <c r="E2659">
        <v>1982780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E441F748-CAD3-4705-8957-EB0865221CA9}">
  <ds:schemaRefs/>
</ds:datastoreItem>
</file>

<file path=customXml/itemProps2.xml><?xml version="1.0" encoding="utf-8"?>
<ds:datastoreItem xmlns:ds="http://schemas.openxmlformats.org/officeDocument/2006/customXml" ds:itemID="{EC4344DC-BB5F-4465-B6BE-0D5A1840E3C7}">
  <ds:schemaRefs/>
</ds:datastoreItem>
</file>

<file path=customXml/itemProps3.xml><?xml version="1.0" encoding="utf-8"?>
<ds:datastoreItem xmlns:ds="http://schemas.openxmlformats.org/officeDocument/2006/customXml" ds:itemID="{1C058E9E-A696-46FE-A6ED-BCA3EECE2273}">
  <ds:schemaRefs/>
</ds:datastoreItem>
</file>

<file path=customXml/itemProps4.xml><?xml version="1.0" encoding="utf-8"?>
<ds:datastoreItem xmlns:ds="http://schemas.openxmlformats.org/officeDocument/2006/customXml" ds:itemID="{021874F4-FC03-4491-9AFC-FA163744E9CA}">
  <ds:schemaRefs/>
</ds:datastoreItem>
</file>

<file path=customXml/itemProps5.xml><?xml version="1.0" encoding="utf-8"?>
<ds:datastoreItem xmlns:ds="http://schemas.openxmlformats.org/officeDocument/2006/customXml" ds:itemID="{D3FF1A76-B45E-4DFE-98DB-0252CD3618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14</vt:i4>
      </vt:variant>
    </vt:vector>
  </HeadingPairs>
  <TitlesOfParts>
    <vt:vector size="18" baseType="lpstr">
      <vt:lpstr>LADEN</vt:lpstr>
      <vt:lpstr>START</vt:lpstr>
      <vt:lpstr>UPDATE</vt:lpstr>
      <vt:lpstr>EXPORT</vt:lpstr>
      <vt:lpstr>EFC</vt:lpstr>
      <vt:lpstr>errchck</vt:lpstr>
      <vt:lpstr>kpi_dt</vt:lpstr>
      <vt:lpstr>kpi_log</vt:lpstr>
      <vt:lpstr>LOAD_BAR</vt:lpstr>
      <vt:lpstr>LOAD_TXT</vt:lpstr>
      <vt:lpstr>mv_dt</vt:lpstr>
      <vt:lpstr>PATH</vt:lpstr>
      <vt:lpstr>ROOT</vt:lpstr>
      <vt:lpstr>SHOP</vt:lpstr>
      <vt:lpstr>STORE</vt:lpstr>
      <vt:lpstr>tbl_log</vt:lpstr>
      <vt:lpstr>UPDATE</vt:lpstr>
      <vt:lpstr>version</vt:lpstr>
    </vt:vector>
  </TitlesOfParts>
  <Company>Jumbo Supermarkten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Kuppen, Nils</dc:creator>
  <cp:lastModifiedBy>Kuppen, Nils</cp:lastModifiedBy>
  <dcterms:created xsi:type="dcterms:W3CDTF">2023-11-15T12:42:33Z</dcterms:created>
  <dcterms:modified xsi:type="dcterms:W3CDTF">2024-10-10T14:07:38Z</dcterms:modified>
</cp:coreProperties>
</file>